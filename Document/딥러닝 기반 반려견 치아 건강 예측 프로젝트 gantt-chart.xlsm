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5629" codeName="{AE6600E7-7A62-396C-DE95-9942FA9DD81E}"/>
  <workbookPr codeName="현재_통합_문서"/>
  <mc:AlternateContent xmlns:mc="http://schemas.openxmlformats.org/markup-compatibility/2006">
    <mc:Choice Requires="x15">
      <x15ac:absPath xmlns:x15ac="http://schemas.microsoft.com/office/spreadsheetml/2010/11/ac" url="E:\20222\Knu_Capstone_Design_Project_Team2-\"/>
    </mc:Choice>
  </mc:AlternateContent>
  <xr:revisionPtr revIDLastSave="0" documentId="13_ncr:1_{AEE2C11E-71EF-4AF4-8562-FF9828753EC2}" xr6:coauthVersionLast="47" xr6:coauthVersionMax="47" xr10:uidLastSave="{00000000-0000-0000-0000-000000000000}"/>
  <bookViews>
    <workbookView xWindow="-120" yWindow="-120" windowWidth="29040" windowHeight="15990" xr2:uid="{00000000-000D-0000-FFFF-FFFF00000000}"/>
  </bookViews>
  <sheets>
    <sheet name="GanttChart" sheetId="9" r:id="rId1"/>
    <sheet name="Sheet1" sheetId="13" r:id="rId2"/>
    <sheet name="GanttChartPro" sheetId="12" r:id="rId3"/>
    <sheet name="Help" sheetId="6" r:id="rId4"/>
    <sheet name="TermsOfUse" sheetId="11" r:id="rId5"/>
  </sheets>
  <definedNames>
    <definedName name="_xlnm._FilterDatabase" localSheetId="0" hidden="1">GanttChart!$G$4:$H$4</definedName>
    <definedName name="prevWBS" localSheetId="0">GanttChart!$A1048576</definedName>
    <definedName name="_xlnm.Print_Area" localSheetId="0">GanttChart!$A$1:$BN$53</definedName>
    <definedName name="_xlnm.Print_Area" localSheetId="2">GanttChartPro!$A$1:$C$47</definedName>
    <definedName name="_xlnm.Print_Titles" localSheetId="0">GanttChart!$4:$7</definedName>
    <definedName name="valuevx">42.314159</definedName>
    <definedName name="vertex42_copyright" hidden="1">"© 2006-2018 Vertex42 LLC"</definedName>
    <definedName name="vertex42_id" hidden="1">"gantt-chart_L.xlsx"</definedName>
    <definedName name="vertex42_title" hidden="1">"Gantt Chart Template"</definedName>
    <definedName name="week">Sheet1!$A$1:$A$2</definedName>
  </definedNames>
  <calcPr calcId="191029"/>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F26" i="9" l="1"/>
  <c r="I26" i="9" s="1"/>
  <c r="F19" i="9"/>
  <c r="I19" i="9" s="1"/>
  <c r="F18" i="9"/>
  <c r="I18" i="9" s="1"/>
  <c r="F27" i="9"/>
  <c r="I27" i="9" s="1"/>
  <c r="F48" i="9"/>
  <c r="I48" i="9" s="1"/>
  <c r="F47" i="9"/>
  <c r="I47" i="9" s="1"/>
  <c r="F42" i="9"/>
  <c r="I42" i="9" s="1"/>
  <c r="I46" i="9"/>
  <c r="F49" i="9"/>
  <c r="I49" i="9" s="1"/>
  <c r="F35" i="9"/>
  <c r="I35" i="9" s="1"/>
  <c r="F34" i="9"/>
  <c r="I34" i="9" s="1"/>
  <c r="F39" i="9"/>
  <c r="I39" i="9" s="1"/>
  <c r="F38" i="9"/>
  <c r="I38" i="9" s="1"/>
  <c r="F44" i="9"/>
  <c r="I44" i="9" s="1"/>
  <c r="F33" i="9"/>
  <c r="I33" i="9" s="1"/>
  <c r="F32" i="9"/>
  <c r="I32" i="9" s="1"/>
  <c r="F40" i="9"/>
  <c r="I40" i="9" s="1"/>
  <c r="F30" i="9"/>
  <c r="I30" i="9" s="1"/>
  <c r="F29" i="9"/>
  <c r="I29" i="9" s="1"/>
  <c r="F31" i="9"/>
  <c r="I31" i="9" s="1"/>
  <c r="F43" i="9"/>
  <c r="I43" i="9" s="1"/>
  <c r="F45" i="9"/>
  <c r="I45" i="9" s="1"/>
  <c r="F13" i="9"/>
  <c r="I13" i="9" s="1"/>
  <c r="F37" i="9"/>
  <c r="I37" i="9" s="1"/>
  <c r="F52" i="9"/>
  <c r="F20" i="9"/>
  <c r="I20" i="9" s="1"/>
  <c r="F36" i="9"/>
  <c r="I36" i="9" s="1"/>
  <c r="F11" i="9"/>
  <c r="I11" i="9" s="1"/>
  <c r="F9" i="9"/>
  <c r="I9" i="9" s="1"/>
  <c r="F10" i="9"/>
  <c r="I10" i="9" s="1"/>
  <c r="H14" i="9"/>
  <c r="H21" i="9"/>
  <c r="F24" i="9"/>
  <c r="I24" i="9" s="1"/>
  <c r="F21" i="9"/>
  <c r="I21" i="9" s="1"/>
  <c r="F17" i="9"/>
  <c r="I17" i="9" s="1"/>
  <c r="F16" i="9"/>
  <c r="I16" i="9" s="1"/>
  <c r="F15" i="9"/>
  <c r="I15" i="9" s="1"/>
  <c r="F25" i="9"/>
  <c r="I25" i="9" s="1"/>
  <c r="F23" i="9"/>
  <c r="I23" i="9" s="1"/>
  <c r="F12" i="9"/>
  <c r="I12" i="9" s="1"/>
  <c r="F8" i="9"/>
  <c r="I8" i="9" s="1"/>
  <c r="I53" i="9" l="1"/>
  <c r="F50" i="9" l="1"/>
  <c r="I50" i="9" s="1"/>
  <c r="F41" i="9"/>
  <c r="I41" i="9" s="1"/>
  <c r="F28" i="9"/>
  <c r="I28" i="9" s="1"/>
  <c r="K6" i="9" l="1"/>
  <c r="F14" i="9" l="1"/>
  <c r="I14" i="9" s="1"/>
  <c r="K7" i="9"/>
  <c r="K4" i="9"/>
  <c r="A8" i="9"/>
  <c r="A9" i="9" l="1"/>
  <c r="A10" i="9" s="1"/>
  <c r="A11" i="9" s="1"/>
  <c r="F22" i="9"/>
  <c r="I22" i="9" s="1"/>
  <c r="L6" i="9" l="1"/>
  <c r="I52" i="9" l="1"/>
  <c r="F51" i="9"/>
  <c r="I51" i="9" s="1"/>
  <c r="M6" i="9"/>
  <c r="N6" i="9" l="1"/>
  <c r="O6" i="9" l="1"/>
  <c r="K5" i="9"/>
  <c r="P6" i="9" l="1"/>
  <c r="L7" i="9"/>
  <c r="Q6" i="9" l="1"/>
  <c r="M7" i="9"/>
  <c r="R6" i="9" l="1"/>
  <c r="R7" i="9" s="1"/>
  <c r="N7" i="9"/>
  <c r="S6" i="9" l="1"/>
  <c r="O7" i="9"/>
  <c r="T6" i="9" l="1"/>
  <c r="P7" i="9"/>
  <c r="U6" i="9" l="1"/>
  <c r="Q7" i="9"/>
  <c r="V6" i="9" l="1"/>
  <c r="R5" i="9"/>
  <c r="R4" i="9"/>
  <c r="W6" i="9" l="1"/>
  <c r="S7" i="9"/>
  <c r="X6" i="9" l="1"/>
  <c r="T7" i="9"/>
  <c r="Y6" i="9" l="1"/>
  <c r="U7" i="9"/>
  <c r="Z6" i="9" l="1"/>
  <c r="V7" i="9"/>
  <c r="AA6" i="9" l="1"/>
  <c r="X7" i="9"/>
  <c r="W7" i="9"/>
  <c r="AB6" i="9" l="1"/>
  <c r="Y5" i="9"/>
  <c r="Y4" i="9"/>
  <c r="Y7" i="9"/>
  <c r="AC6" i="9" l="1"/>
  <c r="Z7" i="9"/>
  <c r="AD6" i="9" l="1"/>
  <c r="AA7" i="9"/>
  <c r="AE6" i="9" l="1"/>
  <c r="AB7" i="9"/>
  <c r="AF6" i="9" l="1"/>
  <c r="AC7" i="9"/>
  <c r="AG6" i="9" l="1"/>
  <c r="AD7" i="9"/>
  <c r="AH6" i="9" l="1"/>
  <c r="AE7" i="9"/>
  <c r="AI6" i="9" l="1"/>
  <c r="AF4" i="9"/>
  <c r="AF7" i="9"/>
  <c r="AF5" i="9"/>
  <c r="AJ6" i="9" l="1"/>
  <c r="AG7" i="9"/>
  <c r="AK6" i="9" l="1"/>
  <c r="AH7" i="9"/>
  <c r="AL6" i="9" l="1"/>
  <c r="AI7" i="9"/>
  <c r="AM6" i="9" l="1"/>
  <c r="AJ7" i="9"/>
  <c r="AN6" i="9" l="1"/>
  <c r="AK7" i="9"/>
  <c r="AO6" i="9" l="1"/>
  <c r="AL7" i="9"/>
  <c r="AP6" i="9" l="1"/>
  <c r="AM7" i="9"/>
  <c r="AM5" i="9"/>
  <c r="AM4" i="9"/>
  <c r="AQ6" i="9" l="1"/>
  <c r="AN7" i="9"/>
  <c r="AR6" i="9" l="1"/>
  <c r="AO7" i="9"/>
  <c r="AS6" i="9" l="1"/>
  <c r="AP7" i="9"/>
  <c r="AT6" i="9" l="1"/>
  <c r="AQ7" i="9"/>
  <c r="AU6" i="9" l="1"/>
  <c r="AR7" i="9"/>
  <c r="AV6" i="9" l="1"/>
  <c r="AS7" i="9"/>
  <c r="AW6" i="9" l="1"/>
  <c r="AT7" i="9"/>
  <c r="AT5" i="9"/>
  <c r="AT4" i="9"/>
  <c r="AX6" i="9" l="1"/>
  <c r="AU7" i="9"/>
  <c r="AY6" i="9" l="1"/>
  <c r="AV7" i="9"/>
  <c r="AZ6" i="9" l="1"/>
  <c r="AW7" i="9"/>
  <c r="BA6" i="9" l="1"/>
  <c r="AX7" i="9"/>
  <c r="BB6" i="9" l="1"/>
  <c r="AY7" i="9"/>
  <c r="BC6" i="9" l="1"/>
  <c r="AZ7" i="9"/>
  <c r="BD6" i="9" l="1"/>
  <c r="BA5" i="9"/>
  <c r="BA4" i="9"/>
  <c r="BA7" i="9"/>
  <c r="BE6" i="9" l="1"/>
  <c r="BB7" i="9"/>
  <c r="BF6" i="9" l="1"/>
  <c r="BC7" i="9"/>
  <c r="BG6" i="9" l="1"/>
  <c r="BD7" i="9"/>
  <c r="BH6" i="9" l="1"/>
  <c r="BE7" i="9"/>
  <c r="BI6" i="9" l="1"/>
  <c r="BF7" i="9"/>
  <c r="BJ6" i="9" l="1"/>
  <c r="BG7" i="9"/>
  <c r="BK6" i="9" l="1"/>
  <c r="BH4" i="9"/>
  <c r="BH7" i="9"/>
  <c r="BH5" i="9"/>
  <c r="BL6" i="9" l="1"/>
  <c r="BI7" i="9"/>
  <c r="BM6" i="9" l="1"/>
  <c r="BJ7" i="9"/>
  <c r="BN6" i="9" l="1"/>
  <c r="BK7" i="9"/>
  <c r="BL7" i="9" l="1"/>
  <c r="BM7" i="9" l="1"/>
  <c r="BN7" i="9" l="1"/>
  <c r="A12" i="9" l="1"/>
  <c r="A13" i="9" s="1"/>
  <c r="A14" i="9" l="1"/>
  <c r="A15" i="9" s="1"/>
  <c r="A16" i="9" s="1"/>
  <c r="A17" i="9" l="1"/>
  <c r="A18" i="9" l="1"/>
  <c r="A19" i="9" s="1"/>
  <c r="A20" i="9" s="1"/>
  <c r="A21" i="9" s="1"/>
  <c r="A22" i="9" s="1"/>
  <c r="A23" i="9" s="1"/>
  <c r="A24" i="9" s="1"/>
  <c r="A25" i="9" s="1"/>
  <c r="A26" i="9" s="1"/>
  <c r="A27" i="9" s="1"/>
  <c r="A28" i="9" s="1"/>
  <c r="A29" i="9" s="1"/>
  <c r="A30" i="9" s="1"/>
  <c r="A31" i="9" s="1"/>
  <c r="A32" i="9" s="1"/>
  <c r="A33" i="9" s="1"/>
  <c r="A34" i="9" s="1"/>
  <c r="A35" i="9" s="1"/>
  <c r="A36" i="9" s="1"/>
  <c r="A37" i="9" s="1"/>
  <c r="A38" i="9" s="1"/>
  <c r="A39" i="9" s="1"/>
  <c r="A40" i="9" s="1"/>
  <c r="A41" i="9" s="1"/>
  <c r="A42" i="9" s="1"/>
  <c r="A43" i="9" s="1"/>
  <c r="A44" i="9" s="1"/>
  <c r="A45" i="9" s="1"/>
  <c r="A46" i="9" s="1"/>
  <c r="A47" i="9" s="1"/>
  <c r="A48" i="9" s="1"/>
  <c r="A49" i="9" s="1"/>
  <c r="A50" i="9" s="1"/>
  <c r="A51" i="9" s="1"/>
  <c r="A52" i="9"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Vertex42</author>
    <author>Vertex42.com Templates</author>
  </authors>
  <commentList>
    <comment ref="A7" authorId="0" shapeId="0" xr:uid="{00000000-0006-0000-0000-000001000000}">
      <text>
        <r>
          <rPr>
            <b/>
            <sz val="9"/>
            <color indexed="81"/>
            <rFont val="Tahoma"/>
            <family val="2"/>
          </rPr>
          <t>Work Breakdown Structure</t>
        </r>
        <r>
          <rPr>
            <sz val="9"/>
            <color indexed="81"/>
            <rFont val="Tahoma"/>
            <family val="2"/>
          </rPr>
          <t xml:space="preserve">
Level 1: 1, 2, 3, ...
Level 2: 1.1, 1.2, 1.3, ...
Level 3: 1.1.1, 1.1.2, 1.1.3, …
 - The WBS uses a formula to control the numbering, but the formulas are different for different levels. Copy and Paste the cells in the WBS column from the examples at the bottom of the worksheet.</t>
        </r>
      </text>
    </comment>
    <comment ref="B7" authorId="0" shapeId="0" xr:uid="{00000000-0006-0000-0000-000002000000}">
      <text>
        <r>
          <rPr>
            <b/>
            <sz val="9"/>
            <color indexed="81"/>
            <rFont val="Tahoma"/>
            <family val="2"/>
          </rPr>
          <t>Task Description</t>
        </r>
        <r>
          <rPr>
            <sz val="9"/>
            <color indexed="81"/>
            <rFont val="Tahoma"/>
            <family val="2"/>
          </rPr>
          <t xml:space="preserve">
Enter the name of each task and sub-task. Use indents for sub-tasks.</t>
        </r>
      </text>
    </comment>
    <comment ref="C7" authorId="0" shapeId="0" xr:uid="{00000000-0006-0000-0000-000003000000}">
      <text>
        <r>
          <rPr>
            <b/>
            <sz val="9"/>
            <color indexed="81"/>
            <rFont val="Tahoma"/>
            <family val="2"/>
          </rPr>
          <t>Task Lead</t>
        </r>
        <r>
          <rPr>
            <sz val="9"/>
            <color indexed="81"/>
            <rFont val="Tahoma"/>
            <family val="2"/>
          </rPr>
          <t xml:space="preserve">
Enter the name of the Task Lead in this column.</t>
        </r>
      </text>
    </comment>
    <comment ref="D7" authorId="0" shapeId="0" xr:uid="{00000000-0006-0000-0000-000004000000}">
      <text>
        <r>
          <rPr>
            <b/>
            <sz val="9"/>
            <color indexed="81"/>
            <rFont val="Tahoma"/>
            <family val="2"/>
          </rPr>
          <t xml:space="preserve">Predecessor Tasks:
</t>
        </r>
        <r>
          <rPr>
            <sz val="9"/>
            <color indexed="81"/>
            <rFont val="Tahoma"/>
            <family val="2"/>
          </rPr>
          <t>You can use this column to enter the WBS of a predecessor for reference. The PRO version uses formulas to automatically calculate the Start Date based on the Predecessor.</t>
        </r>
      </text>
    </comment>
    <comment ref="E7" authorId="0" shapeId="0" xr:uid="{00000000-0006-0000-0000-000005000000}">
      <text>
        <r>
          <rPr>
            <b/>
            <sz val="9"/>
            <color indexed="81"/>
            <rFont val="Tahoma"/>
            <family val="2"/>
          </rPr>
          <t>Task Start Date</t>
        </r>
        <r>
          <rPr>
            <sz val="9"/>
            <color indexed="81"/>
            <rFont val="Tahoma"/>
            <family val="2"/>
          </rPr>
          <t xml:space="preserve">
You can manually enter the Start Date for each task or use a formula to create a dependency on a Predecessor. For example, you could enter </t>
        </r>
        <r>
          <rPr>
            <b/>
            <sz val="9"/>
            <color indexed="81"/>
            <rFont val="Tahoma"/>
            <family val="2"/>
          </rPr>
          <t>=</t>
        </r>
        <r>
          <rPr>
            <b/>
            <i/>
            <sz val="9"/>
            <color indexed="81"/>
            <rFont val="Tahoma"/>
            <family val="2"/>
          </rPr>
          <t>enddate</t>
        </r>
        <r>
          <rPr>
            <b/>
            <sz val="9"/>
            <color indexed="81"/>
            <rFont val="Tahoma"/>
            <family val="2"/>
          </rPr>
          <t>+1</t>
        </r>
        <r>
          <rPr>
            <sz val="9"/>
            <color indexed="81"/>
            <rFont val="Tahoma"/>
            <family val="2"/>
          </rPr>
          <t xml:space="preserve"> to set the Start date to the next calendar day, or </t>
        </r>
        <r>
          <rPr>
            <b/>
            <sz val="9"/>
            <color indexed="81"/>
            <rFont val="Tahoma"/>
            <family val="2"/>
          </rPr>
          <t>=WORKDAY(</t>
        </r>
        <r>
          <rPr>
            <b/>
            <i/>
            <sz val="9"/>
            <color indexed="81"/>
            <rFont val="Tahoma"/>
            <family val="2"/>
          </rPr>
          <t>enddate</t>
        </r>
        <r>
          <rPr>
            <b/>
            <sz val="9"/>
            <color indexed="81"/>
            <rFont val="Tahoma"/>
            <family val="2"/>
          </rPr>
          <t>,1)</t>
        </r>
        <r>
          <rPr>
            <sz val="9"/>
            <color indexed="81"/>
            <rFont val="Tahoma"/>
            <family val="2"/>
          </rPr>
          <t xml:space="preserve"> to set the Start date to the next work day (excluding weekends), where </t>
        </r>
        <r>
          <rPr>
            <i/>
            <sz val="9"/>
            <color indexed="81"/>
            <rFont val="Tahoma"/>
            <family val="2"/>
          </rPr>
          <t>enddate</t>
        </r>
        <r>
          <rPr>
            <sz val="9"/>
            <color indexed="81"/>
            <rFont val="Tahoma"/>
            <family val="2"/>
          </rPr>
          <t xml:space="preserve"> is the cell reference for the End date of the Predecessor task.</t>
        </r>
      </text>
    </comment>
    <comment ref="F7" authorId="1" shapeId="0" xr:uid="{00000000-0006-0000-0000-000006000000}">
      <text>
        <r>
          <rPr>
            <b/>
            <sz val="9"/>
            <color indexed="81"/>
            <rFont val="Tahoma"/>
            <family val="2"/>
          </rPr>
          <t>End Date:</t>
        </r>
        <r>
          <rPr>
            <sz val="9"/>
            <color indexed="81"/>
            <rFont val="Tahoma"/>
            <family val="2"/>
          </rPr>
          <t xml:space="preserve">
The End Date is calculated based on the Start Date and the Calendar Days columns.</t>
        </r>
      </text>
    </comment>
    <comment ref="G7" authorId="0" shapeId="0" xr:uid="{00000000-0006-0000-0000-000007000000}">
      <text>
        <r>
          <rPr>
            <b/>
            <sz val="9"/>
            <color indexed="81"/>
            <rFont val="Tahoma"/>
            <family val="2"/>
          </rPr>
          <t>Duration (Calendar Days)</t>
        </r>
        <r>
          <rPr>
            <sz val="9"/>
            <color indexed="81"/>
            <rFont val="Tahoma"/>
            <family val="2"/>
          </rPr>
          <t xml:space="preserve">
The duration is the number of calendar days for the given task. The duration is calculated as the </t>
        </r>
        <r>
          <rPr>
            <b/>
            <sz val="9"/>
            <color indexed="81"/>
            <rFont val="Tahoma"/>
            <family val="2"/>
          </rPr>
          <t>End</t>
        </r>
        <r>
          <rPr>
            <sz val="9"/>
            <color indexed="81"/>
            <rFont val="Tahoma"/>
            <family val="2"/>
          </rPr>
          <t xml:space="preserve"> Date minus the </t>
        </r>
        <r>
          <rPr>
            <b/>
            <sz val="9"/>
            <color indexed="81"/>
            <rFont val="Tahoma"/>
            <family val="2"/>
          </rPr>
          <t>Start</t>
        </r>
        <r>
          <rPr>
            <sz val="9"/>
            <color indexed="81"/>
            <rFont val="Tahoma"/>
            <family val="2"/>
          </rPr>
          <t xml:space="preserve"> Date plus 1 day, so that a task starting and ending on the same day has a duration of 1 day.
</t>
        </r>
        <r>
          <rPr>
            <b/>
            <sz val="9"/>
            <color indexed="81"/>
            <rFont val="Tahoma"/>
            <family val="2"/>
          </rPr>
          <t>Note:</t>
        </r>
        <r>
          <rPr>
            <sz val="9"/>
            <color indexed="81"/>
            <rFont val="Tahoma"/>
            <family val="2"/>
          </rPr>
          <t xml:space="preserve"> The conditional formatting used to create the gantt chart references this column.</t>
        </r>
      </text>
    </comment>
    <comment ref="H7" authorId="0" shapeId="0" xr:uid="{00000000-0006-0000-0000-000008000000}">
      <text>
        <r>
          <rPr>
            <b/>
            <sz val="9"/>
            <color indexed="81"/>
            <rFont val="Tahoma"/>
            <family val="2"/>
          </rPr>
          <t>Percent Complete</t>
        </r>
        <r>
          <rPr>
            <sz val="9"/>
            <color indexed="81"/>
            <rFont val="Tahoma"/>
            <family val="2"/>
          </rPr>
          <t xml:space="preserve">
Update the status of this task by entering the percent complete (between 0% and 100%).</t>
        </r>
      </text>
    </comment>
    <comment ref="I7" authorId="0" shapeId="0" xr:uid="{00000000-0006-0000-0000-000009000000}">
      <text>
        <r>
          <rPr>
            <b/>
            <sz val="9"/>
            <color indexed="81"/>
            <rFont val="Tahoma"/>
            <family val="2"/>
          </rPr>
          <t>Work Days</t>
        </r>
        <r>
          <rPr>
            <sz val="9"/>
            <color indexed="81"/>
            <rFont val="Tahoma"/>
            <family val="2"/>
          </rPr>
          <t xml:space="preserve">
Counts the number of work days, excluding the weekends (Saturday and Sunday). In the PRO version, you can customize the work week and list specific non-working days like holidays. In the PRO version, the default input is the Work Days instead of the Calendar Days.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Vertex42</author>
  </authors>
  <commentList>
    <comment ref="C16" authorId="0" shapeId="0" xr:uid="{00000000-0006-0000-0200-000001000000}">
      <text>
        <r>
          <rPr>
            <sz val="8"/>
            <color indexed="81"/>
            <rFont val="Tahoma"/>
            <family val="2"/>
          </rPr>
          <t>This is an example comment.</t>
        </r>
      </text>
    </comment>
  </commentList>
</comments>
</file>

<file path=xl/sharedStrings.xml><?xml version="1.0" encoding="utf-8"?>
<sst xmlns="http://schemas.openxmlformats.org/spreadsheetml/2006/main" count="229" uniqueCount="188">
  <si>
    <t>WBS</t>
  </si>
  <si>
    <t>Input Cell</t>
  </si>
  <si>
    <t>Label</t>
  </si>
  <si>
    <t>Getting Started Tips</t>
  </si>
  <si>
    <t>FAQs</t>
  </si>
  <si>
    <t>Q:</t>
  </si>
  <si>
    <t>Creating Task Dependencies</t>
  </si>
  <si>
    <t>Changing the Color of the Bars in the Gantt Chart</t>
  </si>
  <si>
    <t>Using the Template Rows and Choosing a WBS Level</t>
  </si>
  <si>
    <t>A.</t>
  </si>
  <si>
    <t>Enter the date manually (e.g. 1/3/2015)</t>
  </si>
  <si>
    <t>B.</t>
  </si>
  <si>
    <t>Reference the Project Start Date (e.g. =$E$4 )</t>
  </si>
  <si>
    <t>C.</t>
  </si>
  <si>
    <t>Set the Start date to the next Work Day after another task's End date.</t>
  </si>
  <si>
    <t>D.</t>
  </si>
  <si>
    <t>Set the Start date to the next Calendar Day after another task's End date.</t>
  </si>
  <si>
    <t>E.</t>
  </si>
  <si>
    <t>Set the Start date to a number of days before or after another date.</t>
  </si>
  <si>
    <t>Find a row that works, then copy the cells that make up the gantt chart area from that row into the row that is messed up.</t>
  </si>
  <si>
    <t>Gantt Chart Template Pro</t>
  </si>
  <si>
    <t>Learn More About Gantt Chart Template Pro</t>
  </si>
  <si>
    <t>Benefits and Features of Gantt Chart Template Pro</t>
  </si>
  <si>
    <t xml:space="preserve"> - Start date and End date</t>
  </si>
  <si>
    <t xml:space="preserve"> - Start date and Work days</t>
  </si>
  <si>
    <t xml:space="preserve"> - Start date and Calendar days</t>
  </si>
  <si>
    <t>Easily Create Task Dependencies</t>
  </si>
  <si>
    <t>Exclude Holidays from Work Days</t>
  </si>
  <si>
    <r>
      <t>Gantt Chart Template Pro</t>
    </r>
    <r>
      <rPr>
        <sz val="10"/>
        <rFont val="Arial"/>
        <family val="2"/>
      </rPr>
      <t xml:space="preserve"> is similar to this free version, but</t>
    </r>
  </si>
  <si>
    <t>it is more feature-packed. It also comes with other bonus content.</t>
  </si>
  <si>
    <t>Use Work Days as an Input</t>
  </si>
  <si>
    <t>Customize Your Work Week</t>
  </si>
  <si>
    <t>functions that allow you define the work week as something other than Monday-Friday.</t>
  </si>
  <si>
    <t>Simple Color-Coding</t>
  </si>
  <si>
    <t>By default, the Pro version is set up to have you enter Work Days instead of Calendar Days.</t>
  </si>
  <si>
    <t>The expanded set of template rows provides more options for defining the Start date, End date,</t>
  </si>
  <si>
    <t>and Duration of tasks. Define a task based on …</t>
  </si>
  <si>
    <t>List holidays and other specific non-working days that you want to exclude from work days.</t>
  </si>
  <si>
    <t>The Pro version includes a column for specifying the color of bars in the chart. For example,</t>
  </si>
  <si>
    <t>you could change the color based on urgency or task lead.</t>
  </si>
  <si>
    <t>Daily, Weekly, or Monthly View</t>
  </si>
  <si>
    <t>The Pro version includes a drop-down next to the Display Week that lets you choose to display</t>
  </si>
  <si>
    <t>the columns in the chart area as days, weeks, or months.</t>
  </si>
  <si>
    <t>Gantt Chart Template Pro for Excel Online</t>
  </si>
  <si>
    <t>Pro version for Excel Online.</t>
  </si>
  <si>
    <t>The following link is a blog post that talks specifically about the</t>
  </si>
  <si>
    <t>https://www.vertex42.com/ExcelTemplates/excel-gantt-chart.html</t>
  </si>
  <si>
    <t>https://www.vertex42.com/licensing/EULA_privateuse.html</t>
  </si>
  <si>
    <t>Learn About Gantt Chart Template Pro</t>
  </si>
  <si>
    <t>Terms of Use</t>
  </si>
  <si>
    <t>Gantt Chart Template, by Vertex42.com</t>
  </si>
  <si>
    <t>© 2006-2018 Vertex42 LLC</t>
  </si>
  <si>
    <t>This spreadsheet template, including all worksheets and associated content is a copyrighted work under the United States and other copyright laws.</t>
  </si>
  <si>
    <r>
      <t xml:space="preserve">You may download the spreadsheet template, make archival copies, and customize the template only for your </t>
    </r>
    <r>
      <rPr>
        <b/>
        <sz val="12"/>
        <rFont val="Arial"/>
        <family val="2"/>
      </rPr>
      <t>personal use or use within your company or organization</t>
    </r>
    <r>
      <rPr>
        <sz val="12"/>
        <rFont val="Arial"/>
        <family val="2"/>
      </rPr>
      <t xml:space="preserve"> and </t>
    </r>
    <r>
      <rPr>
        <b/>
        <sz val="12"/>
        <rFont val="Arial"/>
        <family val="2"/>
      </rPr>
      <t>not</t>
    </r>
    <r>
      <rPr>
        <sz val="12"/>
        <rFont val="Arial"/>
        <family val="2"/>
      </rPr>
      <t xml:space="preserve"> for resale or public sharing.</t>
    </r>
  </si>
  <si>
    <t>You may not remove or alter any Vertex42 logo, trademark, copyright, disclaimer, brand, terms of use, attribution, or other proprietary notices or marks within the template.</t>
  </si>
  <si>
    <t>The template and any file, document, or other work including or derived from the template may NOT be sold, distributed, published to an online gallery, hosted on a website, or placed on any server in a way that makes it available to the general public.</t>
  </si>
  <si>
    <r>
      <rPr>
        <b/>
        <sz val="12"/>
        <rFont val="Arial"/>
        <family val="2"/>
      </rPr>
      <t>Limited Private Sharing and Other Allowed Uses</t>
    </r>
    <r>
      <rPr>
        <sz val="12"/>
        <rFont val="Arial"/>
        <family val="2"/>
      </rPr>
      <t>: See the complete license agreement to learn more about how you may or may not use this template.</t>
    </r>
  </si>
  <si>
    <t>View the Complete License Agreement</t>
  </si>
  <si>
    <t>Watch Demo Videos of the Pro Version on Vertex42.com</t>
  </si>
  <si>
    <t>Please read the license agreement in the TermsOfUse worksheet to learn how you may or may not use and share this spreadsheet.</t>
  </si>
  <si>
    <t>END</t>
  </si>
  <si>
    <t>DAYS</t>
  </si>
  <si>
    <t>% DONE</t>
  </si>
  <si>
    <t>WORK DAYS</t>
  </si>
  <si>
    <t>PREDECESSOR</t>
  </si>
  <si>
    <r>
      <rPr>
        <i/>
        <u/>
        <sz val="8"/>
        <color theme="1" tint="0.34998626667073579"/>
        <rFont val="Arial"/>
        <family val="2"/>
      </rPr>
      <t>Gantt Chart Template</t>
    </r>
    <r>
      <rPr>
        <i/>
        <sz val="8"/>
        <color theme="1" tint="0.34998626667073579"/>
        <rFont val="Arial"/>
        <family val="2"/>
      </rPr>
      <t xml:space="preserve"> © 2006-2018 by Vertex42.com.</t>
    </r>
  </si>
  <si>
    <t>This Gantt Chart Template provides an easy way to create a simple project schedule. You only need to know some basic spreadsheet operations, such as how to insert, delete, copy and paste rows and cells. For more advanced uses, such as defining task dependencies, you will need to know how to enter formulas.</t>
  </si>
  <si>
    <t>• Some of the labels include cell comments to provide extra information.</t>
  </si>
  <si>
    <t>• Define the task start date and duration (days) by editing the light green cells.</t>
  </si>
  <si>
    <t>• [Bracketed Text] is meant to be edited, like the project title and task descriptions.</t>
  </si>
  <si>
    <t>• If you see "#####" in a cell, widen the column to display the cell contents.</t>
  </si>
  <si>
    <t>• To adjust the range of dates shown in the Gantt chart, change the Display Week number.</t>
  </si>
  <si>
    <r>
      <t xml:space="preserve">• </t>
    </r>
    <r>
      <rPr>
        <b/>
        <sz val="11"/>
        <color rgb="FFFF0000"/>
        <rFont val="Arial"/>
        <family val="2"/>
      </rPr>
      <t>Backup</t>
    </r>
    <r>
      <rPr>
        <sz val="11"/>
        <color rgb="FFFF0000"/>
        <rFont val="Arial"/>
        <family val="2"/>
      </rPr>
      <t xml:space="preserve"> your file regularly to avoid losing data! Excel files get corrupted occasionally.</t>
    </r>
  </si>
  <si>
    <t>Inserting New Tasks (Rows)</t>
  </si>
  <si>
    <t>• Insert a new blank row by right-clicking on the row number and selecting Insert.</t>
  </si>
  <si>
    <t>• Copy a row from the set of template rows at the bottom of the worksheet.</t>
  </si>
  <si>
    <t>• With the new blank row selected, press Ctrl+d to copy the formulas and formatting down from the row above OR use the row drag handle to copy the formulas and formatting down.</t>
  </si>
  <si>
    <t>About This Template</t>
  </si>
  <si>
    <t>Be sure to read the Getting Started Tips below. Watching the video demos for Gantt Chart Template Pro may also help you see how to use the spreadsheet.</t>
  </si>
  <si>
    <t>• The Project Start Date is used to define the first week shown in the gantt chart.</t>
  </si>
  <si>
    <t>• Insert new tasks using one of the methods listed below.</t>
  </si>
  <si>
    <r>
      <t xml:space="preserve">When inserting and deleting tasks, you need to insert and delete </t>
    </r>
    <r>
      <rPr>
        <b/>
        <sz val="11"/>
        <rFont val="Arial"/>
        <family val="2"/>
      </rPr>
      <t>entire rows</t>
    </r>
    <r>
      <rPr>
        <sz val="11"/>
        <rFont val="Arial"/>
        <family val="2"/>
      </rPr>
      <t>. Some columns contain formulas (such as the End Date and the Work Days columns), so these formulas need to copied to the newly inserted rows.</t>
    </r>
  </si>
  <si>
    <t>METHOD 2</t>
  </si>
  <si>
    <t>• Right-click on the row where you want to insert the new task and select Insert Copied Cells.</t>
  </si>
  <si>
    <t>Help improve Excel by voting on a suggestion to fix this problem.</t>
  </si>
  <si>
    <t>METHOD 1 (recommended)</t>
  </si>
  <si>
    <t>You can either copy/paste/insert these template rows via Method 2 as explained above, OR you can just copy/paste the desired WBS cell when you want to change the WBS level.</t>
  </si>
  <si>
    <t>The set of template rows at the bottom of the Gantt Chart worksheet provide examples of different ways to format and define tasks for different WBS levels.</t>
  </si>
  <si>
    <t>Each different WBS level uses a different formula in the WBS column.</t>
  </si>
  <si>
    <t>If you leave a blank cell above a WBS number, the numbering will reset to 1.x.x. The formulas are meant for convenience, but you can manually enter the WBS numbers if you want to.</t>
  </si>
  <si>
    <t>You can indent the task description for sub-tasks by entering leading spaces or using the Indent feature in Excel.</t>
  </si>
  <si>
    <r>
      <t>• Use the formula =WORKDAY(</t>
    </r>
    <r>
      <rPr>
        <i/>
        <sz val="11"/>
        <rFont val="Arial"/>
        <family val="2"/>
      </rPr>
      <t>enddate</t>
    </r>
    <r>
      <rPr>
        <sz val="11"/>
        <rFont val="Arial"/>
        <family val="2"/>
      </rPr>
      <t xml:space="preserve">,1) where </t>
    </r>
    <r>
      <rPr>
        <i/>
        <sz val="11"/>
        <rFont val="Arial"/>
        <family val="2"/>
      </rPr>
      <t>enddate</t>
    </r>
    <r>
      <rPr>
        <sz val="11"/>
        <rFont val="Arial"/>
        <family val="2"/>
      </rPr>
      <t xml:space="preserve"> is the reference to the End date of a predecessor task.</t>
    </r>
  </si>
  <si>
    <r>
      <t>• For multiple predecessors, the formula would be =MAX(WORKDAY(</t>
    </r>
    <r>
      <rPr>
        <i/>
        <sz val="11"/>
        <rFont val="Arial"/>
        <family val="2"/>
      </rPr>
      <t>enddate1</t>
    </r>
    <r>
      <rPr>
        <sz val="11"/>
        <rFont val="Arial"/>
        <family val="2"/>
      </rPr>
      <t>,1),WORKDAY(</t>
    </r>
    <r>
      <rPr>
        <i/>
        <sz val="11"/>
        <rFont val="Arial"/>
        <family val="2"/>
      </rPr>
      <t>enddate2</t>
    </r>
    <r>
      <rPr>
        <sz val="11"/>
        <rFont val="Arial"/>
        <family val="2"/>
      </rPr>
      <t>,1))</t>
    </r>
  </si>
  <si>
    <r>
      <t>• This formula is very simple: =</t>
    </r>
    <r>
      <rPr>
        <i/>
        <sz val="11"/>
        <rFont val="Arial"/>
        <family val="2"/>
      </rPr>
      <t>enddate</t>
    </r>
    <r>
      <rPr>
        <sz val="11"/>
        <rFont val="Arial"/>
        <family val="2"/>
      </rPr>
      <t>+1</t>
    </r>
  </si>
  <si>
    <r>
      <t>• For multiple predecessors, the formula would be =MAX(</t>
    </r>
    <r>
      <rPr>
        <i/>
        <sz val="11"/>
        <rFont val="Arial"/>
        <family val="2"/>
      </rPr>
      <t>enddate1</t>
    </r>
    <r>
      <rPr>
        <sz val="11"/>
        <rFont val="Arial"/>
        <family val="2"/>
      </rPr>
      <t>,</t>
    </r>
    <r>
      <rPr>
        <i/>
        <sz val="11"/>
        <rFont val="Arial"/>
        <family val="2"/>
      </rPr>
      <t>enddate2</t>
    </r>
    <r>
      <rPr>
        <sz val="11"/>
        <rFont val="Arial"/>
        <family val="2"/>
      </rPr>
      <t>,</t>
    </r>
    <r>
      <rPr>
        <i/>
        <sz val="11"/>
        <rFont val="Arial"/>
        <family val="2"/>
      </rPr>
      <t>enddate3</t>
    </r>
    <r>
      <rPr>
        <sz val="11"/>
        <rFont val="Arial"/>
        <family val="2"/>
      </rPr>
      <t>)+1</t>
    </r>
  </si>
  <si>
    <r>
      <t>• This formula is just like the one in C or D, except that in place of the "1" you enter the number of days, such as =WORKDAY(</t>
    </r>
    <r>
      <rPr>
        <i/>
        <sz val="11"/>
        <rFont val="Arial"/>
        <family val="2"/>
      </rPr>
      <t>enddate</t>
    </r>
    <r>
      <rPr>
        <sz val="11"/>
        <rFont val="Arial"/>
        <family val="2"/>
      </rPr>
      <t>,5) or =WORKDAY(</t>
    </r>
    <r>
      <rPr>
        <i/>
        <sz val="11"/>
        <rFont val="Arial"/>
        <family val="2"/>
      </rPr>
      <t>startdate</t>
    </r>
    <r>
      <rPr>
        <sz val="11"/>
        <rFont val="Arial"/>
        <family val="2"/>
      </rPr>
      <t>,-5)</t>
    </r>
  </si>
  <si>
    <t>F.</t>
  </si>
  <si>
    <t>Use a lookup formula and the Predecessor column to define the start date.</t>
  </si>
  <si>
    <t>[The formulas for using this method are built into Gantt Chart Template Pro]</t>
  </si>
  <si>
    <t>[Advanced] The Gantt Chart is created using conditional formatting, so you can modify the conditional formatting rules to change the format to a different color. The Pro version includes a column where you can change the color by entering a color code ("b"=blue, "g"=green, etc.)</t>
  </si>
  <si>
    <r>
      <t xml:space="preserve">How do I enter the </t>
    </r>
    <r>
      <rPr>
        <b/>
        <sz val="11"/>
        <color theme="4" tint="-0.249977111117893"/>
        <rFont val="Arial"/>
        <family val="2"/>
      </rPr>
      <t>Work Days</t>
    </r>
    <r>
      <rPr>
        <sz val="11"/>
        <color theme="4" tint="-0.249977111117893"/>
        <rFont val="Arial"/>
        <family val="2"/>
      </rPr>
      <t xml:space="preserve"> instead of </t>
    </r>
    <r>
      <rPr>
        <b/>
        <sz val="11"/>
        <color theme="4" tint="-0.249977111117893"/>
        <rFont val="Arial"/>
        <family val="2"/>
      </rPr>
      <t>Calendar Days</t>
    </r>
    <r>
      <rPr>
        <sz val="11"/>
        <color theme="4" tint="-0.249977111117893"/>
        <rFont val="Arial"/>
        <family val="2"/>
      </rPr>
      <t>?</t>
    </r>
  </si>
  <si>
    <t>The %Complete for a group of tasks can be calculated from its sub tasks using the formula below, where "workdays" is a reference to the range of work day values and "complete" is a reference to the %complete for each of the subtasks.</t>
  </si>
  <si>
    <t>Entering work days instead of calendar days is a feature of the Pro version. There is nothing in the free version preventing you from entering your own formulas, though.</t>
  </si>
  <si>
    <r>
      <t>=SUMPRODUCT(</t>
    </r>
    <r>
      <rPr>
        <i/>
        <sz val="11"/>
        <rFont val="Arial"/>
        <family val="2"/>
      </rPr>
      <t>workdays</t>
    </r>
    <r>
      <rPr>
        <sz val="11"/>
        <rFont val="Arial"/>
        <family val="2"/>
      </rPr>
      <t>,</t>
    </r>
    <r>
      <rPr>
        <i/>
        <sz val="11"/>
        <rFont val="Arial"/>
        <family val="2"/>
      </rPr>
      <t>complete</t>
    </r>
    <r>
      <rPr>
        <sz val="11"/>
        <rFont val="Arial"/>
        <family val="2"/>
      </rPr>
      <t>)/SUM(</t>
    </r>
    <r>
      <rPr>
        <i/>
        <sz val="11"/>
        <rFont val="Arial"/>
        <family val="2"/>
      </rPr>
      <t>workdays</t>
    </r>
    <r>
      <rPr>
        <sz val="11"/>
        <rFont val="Arial"/>
        <family val="2"/>
      </rPr>
      <t>)</t>
    </r>
  </si>
  <si>
    <t>Example: Let's say you have 3 sub tasks that are 10 days, 12 days, and 14 days long, respectively. If the first subtask is 50% complete and the others are 25% complete, you could calculate the overall percent complete for the group as: =(10*50%+12*25%+14*25%)/(10+12+14).</t>
  </si>
  <si>
    <r>
      <t xml:space="preserve">How do I change the </t>
    </r>
    <r>
      <rPr>
        <b/>
        <sz val="11"/>
        <color theme="4" tint="-0.249977111117893"/>
        <rFont val="Arial"/>
        <family val="2"/>
      </rPr>
      <t>Print Settings</t>
    </r>
    <r>
      <rPr>
        <sz val="11"/>
        <color theme="4" tint="-0.249977111117893"/>
        <rFont val="Arial"/>
        <family val="2"/>
      </rPr>
      <t>? (Excel 2010, 2013)</t>
    </r>
  </si>
  <si>
    <t>You will need to add columns to the right of the Gantt Chart via copy/paste. Copy and paste the columns in groups of 7. Afterwards, you will also probably need to update the print area.</t>
  </si>
  <si>
    <r>
      <t>In the Start column, use the formula =MIN(</t>
    </r>
    <r>
      <rPr>
        <i/>
        <sz val="11"/>
        <color rgb="FF000000"/>
        <rFont val="Arial"/>
        <family val="2"/>
      </rPr>
      <t>range_of_start_dates</t>
    </r>
    <r>
      <rPr>
        <sz val="11"/>
        <color rgb="FF000000"/>
        <rFont val="Arial"/>
        <family val="2"/>
      </rPr>
      <t>)</t>
    </r>
  </si>
  <si>
    <r>
      <t>In the End column, use the formula =MAX(</t>
    </r>
    <r>
      <rPr>
        <i/>
        <sz val="11"/>
        <color rgb="FF000000"/>
        <rFont val="Arial"/>
        <family val="2"/>
      </rPr>
      <t>range_of_end_dates</t>
    </r>
    <r>
      <rPr>
        <sz val="11"/>
        <color rgb="FF000000"/>
        <rFont val="Arial"/>
        <family val="2"/>
      </rPr>
      <t>)</t>
    </r>
  </si>
  <si>
    <r>
      <t>In the Days column, use the formula =</t>
    </r>
    <r>
      <rPr>
        <i/>
        <sz val="11"/>
        <color rgb="FF000000"/>
        <rFont val="Arial"/>
        <family val="2"/>
      </rPr>
      <t>end_date</t>
    </r>
    <r>
      <rPr>
        <sz val="11"/>
        <color rgb="FF000000"/>
        <rFont val="Arial"/>
        <family val="2"/>
      </rPr>
      <t>-</t>
    </r>
    <r>
      <rPr>
        <i/>
        <sz val="11"/>
        <color rgb="FF000000"/>
        <rFont val="Arial"/>
        <family val="2"/>
      </rPr>
      <t>start_date</t>
    </r>
    <r>
      <rPr>
        <sz val="11"/>
        <color rgb="FF000000"/>
        <rFont val="Arial"/>
        <family val="2"/>
      </rPr>
      <t>+1</t>
    </r>
  </si>
  <si>
    <t>Help</t>
  </si>
  <si>
    <r>
      <t xml:space="preserve">How do I increase the </t>
    </r>
    <r>
      <rPr>
        <b/>
        <sz val="11"/>
        <color theme="4" tint="-0.249977111117893"/>
        <rFont val="Arial"/>
        <family val="2"/>
      </rPr>
      <t>range of dates</t>
    </r>
    <r>
      <rPr>
        <sz val="11"/>
        <color theme="4" tint="-0.249977111117893"/>
        <rFont val="Arial"/>
        <family val="2"/>
      </rPr>
      <t xml:space="preserve"> displayed in the Gantt chart?</t>
    </r>
  </si>
  <si>
    <r>
      <t xml:space="preserve">How do I create a summary row that shows the </t>
    </r>
    <r>
      <rPr>
        <b/>
        <sz val="11"/>
        <color theme="4" tint="-0.249977111117893"/>
        <rFont val="Arial"/>
        <family val="2"/>
      </rPr>
      <t>MIN</t>
    </r>
    <r>
      <rPr>
        <sz val="11"/>
        <color theme="4" tint="-0.249977111117893"/>
        <rFont val="Arial"/>
        <family val="2"/>
      </rPr>
      <t xml:space="preserve"> and </t>
    </r>
    <r>
      <rPr>
        <b/>
        <sz val="11"/>
        <color theme="4" tint="-0.249977111117893"/>
        <rFont val="Arial"/>
        <family val="2"/>
      </rPr>
      <t>MAX</t>
    </r>
    <r>
      <rPr>
        <sz val="11"/>
        <color theme="4" tint="-0.249977111117893"/>
        <rFont val="Arial"/>
        <family val="2"/>
      </rPr>
      <t xml:space="preserve"> dates for all sub-tasks?</t>
    </r>
  </si>
  <si>
    <r>
      <t xml:space="preserve">How do I calculate the </t>
    </r>
    <r>
      <rPr>
        <b/>
        <sz val="11"/>
        <color theme="4" tint="-0.249977111117893"/>
        <rFont val="Arial"/>
        <family val="2"/>
      </rPr>
      <t>%Complete</t>
    </r>
    <r>
      <rPr>
        <sz val="11"/>
        <color theme="4" tint="-0.249977111117893"/>
        <rFont val="Arial"/>
        <family val="2"/>
      </rPr>
      <t xml:space="preserve"> for an entire category of tasks?</t>
    </r>
  </si>
  <si>
    <r>
      <t xml:space="preserve">I've </t>
    </r>
    <r>
      <rPr>
        <b/>
        <sz val="11"/>
        <color theme="4" tint="-0.249977111117893"/>
        <rFont val="Arial"/>
        <family val="2"/>
      </rPr>
      <t>messed up</t>
    </r>
    <r>
      <rPr>
        <sz val="11"/>
        <color theme="4" tint="-0.249977111117893"/>
        <rFont val="Arial"/>
        <family val="2"/>
      </rPr>
      <t xml:space="preserve"> the chart area somehow. How do I fix it?</t>
    </r>
  </si>
  <si>
    <t>Though you can still use your own formulas for creating task dependencies, the Pro version</t>
  </si>
  <si>
    <t>includes template rows that calculate the Start date based on the WBS number that you enter</t>
  </si>
  <si>
    <t>in the Predecessor column.</t>
  </si>
  <si>
    <t>The versions designed for Excel 2010+ use the WORKDAY.INTL() and NETWORKDAYS.INTL()</t>
  </si>
  <si>
    <r>
      <t xml:space="preserve">How do I calculate Calendar Days after entering the </t>
    </r>
    <r>
      <rPr>
        <b/>
        <sz val="11"/>
        <color theme="4" tint="-0.249977111117893"/>
        <rFont val="Arial"/>
        <family val="2"/>
      </rPr>
      <t>Start and End Dates</t>
    </r>
    <r>
      <rPr>
        <sz val="11"/>
        <color theme="4" tint="-0.249977111117893"/>
        <rFont val="Arial"/>
        <family val="2"/>
      </rPr>
      <t>?</t>
    </r>
  </si>
  <si>
    <t>Method 2 will work, but Excel will split/fracture/duplicate conditional formatting rules rather than merging the rules. This can cause inefficiencies in very large and heavily modified files.</t>
  </si>
  <si>
    <t>You can enter the Start date manually, or define task dependencies using a formula. Below are some common options for defining the Start date:</t>
  </si>
  <si>
    <t>Select the entire range of cells you want to print and go to File &gt; Print Area &gt; Set Print Area. Then go to File &gt; Page Setup or File &gt; Print Preview and adjust the Scaling, Margins, and Page Orientation as desired.</t>
  </si>
  <si>
    <r>
      <t>You can calculate the duration in calendar days (including both start and end dates) using the formula =</t>
    </r>
    <r>
      <rPr>
        <i/>
        <sz val="11"/>
        <rFont val="Arial"/>
        <family val="2"/>
      </rPr>
      <t>enddate</t>
    </r>
    <r>
      <rPr>
        <sz val="11"/>
        <rFont val="Arial"/>
        <family val="2"/>
      </rPr>
      <t>-</t>
    </r>
    <r>
      <rPr>
        <i/>
        <sz val="11"/>
        <rFont val="Arial"/>
        <family val="2"/>
      </rPr>
      <t>startdate</t>
    </r>
    <r>
      <rPr>
        <sz val="11"/>
        <rFont val="Arial"/>
        <family val="2"/>
      </rPr>
      <t>+1</t>
    </r>
  </si>
  <si>
    <t>작업명</t>
    <phoneticPr fontId="3" type="noConversion"/>
  </si>
  <si>
    <t>시작일</t>
    <phoneticPr fontId="3" type="noConversion"/>
  </si>
  <si>
    <t>담당자</t>
    <phoneticPr fontId="3" type="noConversion"/>
  </si>
  <si>
    <t>프로젝트 시작일</t>
    <phoneticPr fontId="3" type="noConversion"/>
  </si>
  <si>
    <t>조장</t>
    <phoneticPr fontId="3" type="noConversion"/>
  </si>
  <si>
    <t>황윤호</t>
    <phoneticPr fontId="3" type="noConversion"/>
  </si>
  <si>
    <t>[오션라이트에이아이]</t>
    <phoneticPr fontId="3" type="noConversion"/>
  </si>
  <si>
    <t>[데이터 수집 및 정제]</t>
    <phoneticPr fontId="3" type="noConversion"/>
  </si>
  <si>
    <t>[반려동물 치아 데이터 수집]</t>
    <phoneticPr fontId="3" type="noConversion"/>
  </si>
  <si>
    <t>[이효준]</t>
    <phoneticPr fontId="3" type="noConversion"/>
  </si>
  <si>
    <t>[반려동물 치아 데이터 정제]</t>
    <phoneticPr fontId="3" type="noConversion"/>
  </si>
  <si>
    <t>[SOTA 모델 공부]</t>
    <phoneticPr fontId="3" type="noConversion"/>
  </si>
  <si>
    <t>[VGG 모델 공부]</t>
    <phoneticPr fontId="3" type="noConversion"/>
  </si>
  <si>
    <t>[조준표]</t>
    <phoneticPr fontId="3" type="noConversion"/>
  </si>
  <si>
    <t>[황윤호]</t>
    <phoneticPr fontId="3" type="noConversion"/>
  </si>
  <si>
    <t>[조현수]</t>
    <phoneticPr fontId="3" type="noConversion"/>
  </si>
  <si>
    <t>[ResNet 모델 공부]</t>
    <phoneticPr fontId="3" type="noConversion"/>
  </si>
  <si>
    <t>[DenseNet 모델 공부]</t>
    <phoneticPr fontId="3" type="noConversion"/>
  </si>
  <si>
    <t>[공통]</t>
    <phoneticPr fontId="3" type="noConversion"/>
  </si>
  <si>
    <t>[딥러닝 기반 반려동물 치아 건강 예측 ] Project Schedule</t>
    <phoneticPr fontId="3" type="noConversion"/>
  </si>
  <si>
    <t>[초기 모델 구축 및 학습]</t>
    <phoneticPr fontId="3" type="noConversion"/>
  </si>
  <si>
    <t>[실제 앱 서비스 배포 및 베타 테스트 진행]</t>
    <phoneticPr fontId="3" type="noConversion"/>
  </si>
  <si>
    <t>[앱 내 임베딩 및 모듈 테스트 진행]</t>
    <phoneticPr fontId="3" type="noConversion"/>
  </si>
  <si>
    <t>[공통]</t>
    <phoneticPr fontId="3" type="noConversion"/>
  </si>
  <si>
    <t>[첫 대면회의]</t>
    <phoneticPr fontId="3" type="noConversion"/>
  </si>
  <si>
    <t>[프로젝트 요구분석]</t>
    <phoneticPr fontId="3" type="noConversion"/>
  </si>
  <si>
    <t>[SOTA 모델 기반 데이터에 대한 최적화 학습]</t>
    <phoneticPr fontId="3" type="noConversion"/>
  </si>
  <si>
    <t>[실제 앱 스토어 배포 실시]</t>
    <phoneticPr fontId="3" type="noConversion"/>
  </si>
  <si>
    <t>[사용자 실제 촬영 케이스 분석 및 추가 고도화 모색]</t>
    <phoneticPr fontId="3" type="noConversion"/>
  </si>
  <si>
    <t>[경량화 기법 학습]</t>
    <phoneticPr fontId="3" type="noConversion"/>
  </si>
  <si>
    <t>[공통]</t>
    <phoneticPr fontId="3" type="noConversion"/>
  </si>
  <si>
    <t>[React-Native 기반 앱 연동 실시]</t>
    <phoneticPr fontId="3" type="noConversion"/>
  </si>
  <si>
    <t>[자체 알파 테스트를 통한 모듈 테스트 진행]</t>
    <phoneticPr fontId="3" type="noConversion"/>
  </si>
  <si>
    <t>[TensorFlow 활용 학습]</t>
    <phoneticPr fontId="3" type="noConversion"/>
  </si>
  <si>
    <t>[OpenCV 활용 학습]</t>
    <phoneticPr fontId="3" type="noConversion"/>
  </si>
  <si>
    <t>[new 2차 대면회의]</t>
    <phoneticPr fontId="3" type="noConversion"/>
  </si>
  <si>
    <t>[공통]</t>
    <phoneticPr fontId="3" type="noConversion"/>
  </si>
  <si>
    <t>[TensorLite 활용 공부]</t>
    <phoneticPr fontId="3" type="noConversion"/>
  </si>
  <si>
    <t>[황윤호, 조준표, 조현수]</t>
    <phoneticPr fontId="3" type="noConversion"/>
  </si>
  <si>
    <t>[프로젝트 관련 reference수집]</t>
    <phoneticPr fontId="3" type="noConversion"/>
  </si>
  <si>
    <t>[MobileNet 모델 공부★]</t>
    <phoneticPr fontId="3" type="noConversion"/>
  </si>
  <si>
    <t>[수집한 reference 분석]</t>
    <phoneticPr fontId="3" type="noConversion"/>
  </si>
  <si>
    <t>[논문 서론 부분 작성]</t>
    <phoneticPr fontId="3" type="noConversion"/>
  </si>
  <si>
    <t>[MobileNet 활용 공부★]</t>
    <phoneticPr fontId="3" type="noConversion"/>
  </si>
  <si>
    <t>[실험 테이블 제작]</t>
    <phoneticPr fontId="3" type="noConversion"/>
  </si>
  <si>
    <t>[파이프 라인설계]</t>
    <phoneticPr fontId="3" type="noConversion"/>
  </si>
  <si>
    <t>날짜 미정</t>
    <phoneticPr fontId="3" type="noConversion"/>
  </si>
  <si>
    <t>[앱 내 탑재를 위한 모델 경량화 기법(MobileNet) 적용]</t>
    <phoneticPr fontId="3" type="noConversion"/>
  </si>
  <si>
    <t>[진척도 확인 회의(화상)1]</t>
    <phoneticPr fontId="3" type="noConversion"/>
  </si>
  <si>
    <t>[진척도 확인 회의(화상)2]</t>
    <phoneticPr fontId="3" type="noConversion"/>
  </si>
  <si>
    <t>[진척도 확인 회의(화상)3]</t>
    <phoneticPr fontId="3" type="noConversion"/>
  </si>
  <si>
    <t>[XAI 모델 구현(시간이 된다면)]</t>
    <phoneticPr fontId="3" type="noConversion"/>
  </si>
  <si>
    <t>[논문 완성]</t>
    <phoneticPr fontId="3" type="noConversion"/>
  </si>
  <si>
    <t>[진척도 확인 회의(화상)4]</t>
    <phoneticPr fontId="3" type="noConversion"/>
  </si>
  <si>
    <t>[어떤 기법을 사용할 것인가?]</t>
    <phoneticPr fontId="3" type="noConversion"/>
  </si>
  <si>
    <t>[어떤 flow로 설계할 것인가?]</t>
    <phoneticPr fontId="3" type="noConversion"/>
  </si>
  <si>
    <t>[추계학술대회 논문 발표(IEIE or IEEE or KSCI)]</t>
    <phoneticPr fontId="3" type="noConversion"/>
  </si>
  <si>
    <t>[논문 발표 학회 찾기]</t>
    <phoneticPr fontId="3" type="noConversion"/>
  </si>
  <si>
    <t>[강아지 데이터 분류]</t>
    <phoneticPr fontId="3" type="noConversion"/>
  </si>
  <si>
    <t>[고양이 데이터 분류]</t>
    <phoneticPr fontId="3" type="noConversion"/>
  </si>
  <si>
    <t>[1차필터링]</t>
    <phoneticPr fontId="3" type="noConversion"/>
  </si>
  <si>
    <t>[강아지 데이터 분류2]</t>
    <phoneticPr fontId="3" type="noConversion"/>
  </si>
  <si>
    <t>[고양이 데이터 분류2]</t>
    <phoneticPr fontId="3" type="noConversion"/>
  </si>
  <si>
    <t xml:space="preserve">Display Week </t>
    <phoneticPr fontId="3"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</si>
</sst>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76" formatCode="m/d/yyyy\ \(dddd\)"/>
    <numFmt numFmtId="177" formatCode="ddd\ m/dd/yy"/>
    <numFmt numFmtId="178" formatCode="d"/>
    <numFmt numFmtId="179" formatCode="d\ mmm\ yyyy"/>
  </numFmts>
  <fonts count="69" x14ac:knownFonts="1">
    <font>
      <sz val="10"/>
      <name val="Arial"/>
    </font>
    <font>
      <sz val="10"/>
      <name val="Arial"/>
      <family val="2"/>
    </font>
    <font>
      <u/>
      <sz val="10"/>
      <color indexed="12"/>
      <name val="Arial"/>
      <family val="2"/>
    </font>
    <font>
      <sz val="8"/>
      <name val="Arial"/>
      <family val="2"/>
    </font>
    <font>
      <u/>
      <sz val="8"/>
      <color indexed="12"/>
      <name val="Arial"/>
      <family val="2"/>
    </font>
    <font>
      <b/>
      <sz val="12"/>
      <name val="Arial"/>
      <family val="2"/>
    </font>
    <font>
      <sz val="10"/>
      <name val="Arial"/>
      <family val="2"/>
    </font>
    <font>
      <b/>
      <sz val="10"/>
      <name val="Arial"/>
      <family val="2"/>
    </font>
    <font>
      <sz val="8"/>
      <color indexed="81"/>
      <name val="Tahoma"/>
      <family val="2"/>
    </font>
    <font>
      <sz val="14"/>
      <color indexed="56"/>
      <name val="Arial"/>
      <family val="2"/>
    </font>
    <font>
      <sz val="9"/>
      <name val="Arial"/>
      <family val="2"/>
    </font>
    <font>
      <sz val="7"/>
      <color indexed="55"/>
      <name val="Arial"/>
      <family val="2"/>
    </font>
    <font>
      <sz val="11"/>
      <color indexed="8"/>
      <name val="Calibri"/>
      <family val="2"/>
    </font>
    <font>
      <sz val="11"/>
      <color indexed="9"/>
      <name val="Calibri"/>
      <family val="2"/>
    </font>
    <font>
      <sz val="11"/>
      <color indexed="36"/>
      <name val="Calibri"/>
      <family val="2"/>
    </font>
    <font>
      <b/>
      <sz val="11"/>
      <color indexed="50"/>
      <name val="Calibri"/>
      <family val="2"/>
    </font>
    <font>
      <b/>
      <sz val="11"/>
      <color indexed="9"/>
      <name val="Calibri"/>
      <family val="2"/>
    </font>
    <font>
      <i/>
      <sz val="11"/>
      <color indexed="23"/>
      <name val="Calibri"/>
      <family val="2"/>
    </font>
    <font>
      <sz val="11"/>
      <color indexed="17"/>
      <name val="Calibri"/>
      <family val="2"/>
    </font>
    <font>
      <b/>
      <sz val="15"/>
      <color indexed="18"/>
      <name val="Calibri"/>
      <family val="2"/>
    </font>
    <font>
      <b/>
      <sz val="13"/>
      <color indexed="18"/>
      <name val="Calibri"/>
      <family val="2"/>
    </font>
    <font>
      <b/>
      <sz val="11"/>
      <color indexed="18"/>
      <name val="Calibri"/>
      <family val="2"/>
    </font>
    <font>
      <sz val="11"/>
      <color indexed="53"/>
      <name val="Calibri"/>
      <family val="2"/>
    </font>
    <font>
      <sz val="11"/>
      <color indexed="50"/>
      <name val="Calibri"/>
      <family val="2"/>
    </font>
    <font>
      <sz val="11"/>
      <color indexed="59"/>
      <name val="Calibri"/>
      <family val="2"/>
    </font>
    <font>
      <b/>
      <sz val="11"/>
      <color indexed="63"/>
      <name val="Calibri"/>
      <family val="2"/>
    </font>
    <font>
      <b/>
      <sz val="18"/>
      <color indexed="18"/>
      <name val="Cambria"/>
      <family val="2"/>
    </font>
    <font>
      <b/>
      <sz val="11"/>
      <color indexed="8"/>
      <name val="Calibri"/>
      <family val="2"/>
    </font>
    <font>
      <sz val="11"/>
      <color indexed="10"/>
      <name val="Calibri"/>
      <family val="2"/>
    </font>
    <font>
      <sz val="12"/>
      <name val="Arial"/>
      <family val="2"/>
    </font>
    <font>
      <u/>
      <sz val="12"/>
      <color indexed="12"/>
      <name val="Arial"/>
      <family val="2"/>
    </font>
    <font>
      <sz val="18"/>
      <color theme="3"/>
      <name val="Arial"/>
      <family val="2"/>
    </font>
    <font>
      <sz val="18"/>
      <color theme="4" tint="-0.249977111117893"/>
      <name val="Arial"/>
      <family val="2"/>
    </font>
    <font>
      <b/>
      <sz val="12"/>
      <color theme="4" tint="-0.249977111117893"/>
      <name val="Arial"/>
      <family val="2"/>
    </font>
    <font>
      <u/>
      <sz val="14"/>
      <color indexed="12"/>
      <name val="Arial"/>
      <family val="2"/>
    </font>
    <font>
      <i/>
      <sz val="8"/>
      <name val="Arial"/>
      <family val="2"/>
    </font>
    <font>
      <b/>
      <sz val="11"/>
      <name val="Arial"/>
      <family val="2"/>
    </font>
    <font>
      <u/>
      <sz val="11"/>
      <color indexed="12"/>
      <name val="Arial"/>
      <family val="2"/>
    </font>
    <font>
      <b/>
      <sz val="9"/>
      <color indexed="81"/>
      <name val="Tahoma"/>
      <family val="2"/>
    </font>
    <font>
      <sz val="9"/>
      <color indexed="81"/>
      <name val="Tahoma"/>
      <family val="2"/>
    </font>
    <font>
      <b/>
      <i/>
      <sz val="9"/>
      <color indexed="81"/>
      <name val="Tahoma"/>
      <family val="2"/>
    </font>
    <font>
      <i/>
      <sz val="9"/>
      <color indexed="81"/>
      <name val="Tahoma"/>
      <family val="2"/>
    </font>
    <font>
      <sz val="9"/>
      <name val="굴림"/>
      <family val="2"/>
      <scheme val="minor"/>
    </font>
    <font>
      <sz val="10"/>
      <name val="굴림"/>
      <family val="1"/>
      <scheme val="major"/>
    </font>
    <font>
      <sz val="11"/>
      <name val="굴림"/>
      <family val="1"/>
      <scheme val="major"/>
    </font>
    <font>
      <sz val="10"/>
      <name val="굴림"/>
      <family val="2"/>
      <scheme val="minor"/>
    </font>
    <font>
      <b/>
      <sz val="11"/>
      <name val="굴림"/>
      <family val="2"/>
      <scheme val="minor"/>
    </font>
    <font>
      <sz val="9"/>
      <color rgb="FF000000"/>
      <name val="굴림"/>
      <family val="2"/>
      <scheme val="minor"/>
    </font>
    <font>
      <i/>
      <sz val="9"/>
      <name val="굴림"/>
      <family val="2"/>
      <scheme val="minor"/>
    </font>
    <font>
      <sz val="11"/>
      <name val="굴림"/>
      <family val="2"/>
      <scheme val="minor"/>
    </font>
    <font>
      <sz val="14"/>
      <name val="굴림"/>
      <family val="2"/>
      <scheme val="minor"/>
    </font>
    <font>
      <sz val="14"/>
      <color rgb="FF000000"/>
      <name val="굴림"/>
      <family val="2"/>
      <scheme val="minor"/>
    </font>
    <font>
      <sz val="10"/>
      <name val="굴림"/>
      <family val="2"/>
      <scheme val="major"/>
    </font>
    <font>
      <b/>
      <sz val="9"/>
      <name val="굴림"/>
      <family val="2"/>
      <scheme val="major"/>
    </font>
    <font>
      <b/>
      <sz val="8"/>
      <name val="굴림"/>
      <family val="2"/>
      <scheme val="major"/>
    </font>
    <font>
      <sz val="16"/>
      <color theme="4" tint="-0.249977111117893"/>
      <name val="굴림"/>
      <family val="1"/>
      <scheme val="major"/>
    </font>
    <font>
      <i/>
      <sz val="8"/>
      <color theme="1" tint="0.34998626667073579"/>
      <name val="Arial"/>
      <family val="2"/>
    </font>
    <font>
      <i/>
      <u/>
      <sz val="8"/>
      <color theme="1" tint="0.34998626667073579"/>
      <name val="Arial"/>
      <family val="2"/>
    </font>
    <font>
      <sz val="14"/>
      <color theme="4" tint="-0.249977111117893"/>
      <name val="Arial"/>
      <family val="2"/>
    </font>
    <font>
      <sz val="11"/>
      <name val="Arial"/>
      <family val="2"/>
    </font>
    <font>
      <sz val="14"/>
      <name val="Arial"/>
      <family val="2"/>
    </font>
    <font>
      <sz val="11"/>
      <color rgb="FFFF0000"/>
      <name val="Arial"/>
      <family val="2"/>
    </font>
    <font>
      <b/>
      <sz val="11"/>
      <color rgb="FFFF0000"/>
      <name val="Arial"/>
      <family val="2"/>
    </font>
    <font>
      <sz val="11"/>
      <color rgb="FF000000"/>
      <name val="Arial"/>
      <family val="2"/>
    </font>
    <font>
      <i/>
      <sz val="11"/>
      <name val="Arial"/>
      <family val="2"/>
    </font>
    <font>
      <b/>
      <sz val="11"/>
      <color theme="4" tint="-0.249977111117893"/>
      <name val="Arial"/>
      <family val="2"/>
    </font>
    <font>
      <sz val="11"/>
      <color theme="4" tint="-0.249977111117893"/>
      <name val="Arial"/>
      <family val="2"/>
    </font>
    <font>
      <i/>
      <sz val="11"/>
      <color rgb="FF000000"/>
      <name val="Arial"/>
      <family val="2"/>
    </font>
    <font>
      <sz val="8"/>
      <name val="돋움"/>
      <family val="3"/>
      <charset val="129"/>
    </font>
  </fonts>
  <fills count="25">
    <fill>
      <patternFill patternType="none"/>
    </fill>
    <fill>
      <patternFill patternType="gray125"/>
    </fill>
    <fill>
      <patternFill patternType="solid">
        <fgColor indexed="47"/>
      </patternFill>
    </fill>
    <fill>
      <patternFill patternType="solid">
        <fgColor indexed="46"/>
      </patternFill>
    </fill>
    <fill>
      <patternFill patternType="solid">
        <fgColor indexed="41"/>
      </patternFill>
    </fill>
    <fill>
      <patternFill patternType="solid">
        <fgColor indexed="26"/>
      </patternFill>
    </fill>
    <fill>
      <patternFill patternType="solid">
        <fgColor indexed="51"/>
      </patternFill>
    </fill>
    <fill>
      <patternFill patternType="solid">
        <fgColor indexed="61"/>
      </patternFill>
    </fill>
    <fill>
      <patternFill patternType="solid">
        <fgColor indexed="52"/>
      </patternFill>
    </fill>
    <fill>
      <patternFill patternType="solid">
        <fgColor indexed="20"/>
      </patternFill>
    </fill>
    <fill>
      <patternFill patternType="solid">
        <fgColor indexed="40"/>
      </patternFill>
    </fill>
    <fill>
      <patternFill patternType="solid">
        <fgColor indexed="29"/>
      </patternFill>
    </fill>
    <fill>
      <patternFill patternType="solid">
        <fgColor indexed="14"/>
      </patternFill>
    </fill>
    <fill>
      <patternFill patternType="solid">
        <fgColor indexed="23"/>
      </patternFill>
    </fill>
    <fill>
      <patternFill patternType="solid">
        <fgColor indexed="15"/>
      </patternFill>
    </fill>
    <fill>
      <patternFill patternType="solid">
        <fgColor indexed="10"/>
      </patternFill>
    </fill>
    <fill>
      <patternFill patternType="solid">
        <fgColor indexed="45"/>
      </patternFill>
    </fill>
    <fill>
      <patternFill patternType="solid">
        <fgColor indexed="22"/>
      </patternFill>
    </fill>
    <fill>
      <patternFill patternType="solid">
        <fgColor indexed="55"/>
      </patternFill>
    </fill>
    <fill>
      <patternFill patternType="solid">
        <fgColor indexed="42"/>
      </patternFill>
    </fill>
    <fill>
      <patternFill patternType="solid">
        <fgColor indexed="9"/>
        <bgColor indexed="64"/>
      </patternFill>
    </fill>
    <fill>
      <patternFill patternType="solid">
        <fgColor indexed="22"/>
        <bgColor indexed="64"/>
      </patternFill>
    </fill>
    <fill>
      <patternFill patternType="solid">
        <fgColor theme="0" tint="-0.14999847407452621"/>
        <bgColor indexed="64"/>
      </patternFill>
    </fill>
    <fill>
      <patternFill patternType="solid">
        <fgColor theme="3" tint="0.79998168889431442"/>
        <bgColor rgb="FFD6F4D9"/>
      </patternFill>
    </fill>
    <fill>
      <patternFill patternType="solid">
        <fgColor theme="3" tint="0.79998168889431442"/>
        <bgColor indexed="64"/>
      </patternFill>
    </fill>
  </fills>
  <borders count="26">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40"/>
      </bottom>
      <diagonal/>
    </border>
    <border>
      <left/>
      <right/>
      <top/>
      <bottom style="thick">
        <color indexed="51"/>
      </bottom>
      <diagonal/>
    </border>
    <border>
      <left/>
      <right/>
      <top/>
      <bottom style="medium">
        <color indexed="52"/>
      </bottom>
      <diagonal/>
    </border>
    <border>
      <left/>
      <right/>
      <top/>
      <bottom style="double">
        <color indexed="50"/>
      </bottom>
      <diagonal/>
    </border>
    <border>
      <left style="thin">
        <color indexed="55"/>
      </left>
      <right style="thin">
        <color indexed="55"/>
      </right>
      <top style="thin">
        <color indexed="55"/>
      </top>
      <bottom style="thin">
        <color indexed="55"/>
      </bottom>
      <diagonal/>
    </border>
    <border>
      <left style="thin">
        <color indexed="63"/>
      </left>
      <right style="thin">
        <color indexed="63"/>
      </right>
      <top style="thin">
        <color indexed="63"/>
      </top>
      <bottom style="thin">
        <color indexed="63"/>
      </bottom>
      <diagonal/>
    </border>
    <border>
      <left/>
      <right/>
      <top style="thin">
        <color indexed="40"/>
      </top>
      <bottom style="double">
        <color indexed="40"/>
      </bottom>
      <diagonal/>
    </border>
    <border>
      <left/>
      <right/>
      <top style="thin">
        <color indexed="22"/>
      </top>
      <bottom style="thin">
        <color indexed="22"/>
      </bottom>
      <diagonal/>
    </border>
    <border>
      <left/>
      <right/>
      <top style="thin">
        <color rgb="FFEFEFEF"/>
      </top>
      <bottom style="thin">
        <color rgb="FFEFEFEF"/>
      </bottom>
      <diagonal/>
    </border>
    <border>
      <left style="thin">
        <color theme="0" tint="-0.24994659260841701"/>
      </left>
      <right style="thin">
        <color theme="0" tint="-0.24994659260841701"/>
      </right>
      <top/>
      <bottom/>
      <diagonal/>
    </border>
    <border>
      <left style="thin">
        <color theme="0"/>
      </left>
      <right style="thin">
        <color theme="0"/>
      </right>
      <top style="thin">
        <color theme="0"/>
      </top>
      <bottom style="thin">
        <color theme="0"/>
      </bottom>
      <diagonal/>
    </border>
    <border>
      <left style="thin">
        <color theme="0"/>
      </left>
      <right style="thin">
        <color theme="0"/>
      </right>
      <top/>
      <bottom style="thin">
        <color theme="0"/>
      </bottom>
      <diagonal/>
    </border>
    <border>
      <left/>
      <right/>
      <top/>
      <bottom style="thin">
        <color indexed="22"/>
      </bottom>
      <diagonal/>
    </border>
    <border>
      <left/>
      <right/>
      <top style="thin">
        <color theme="0" tint="-0.24994659260841701"/>
      </top>
      <bottom style="thin">
        <color theme="0" tint="-0.24994659260841701"/>
      </bottom>
      <diagonal/>
    </border>
    <border>
      <left style="medium">
        <color theme="0" tint="-0.24994659260841701"/>
      </left>
      <right style="thin">
        <color theme="0" tint="-0.24994659260841701"/>
      </right>
      <top/>
      <bottom/>
      <diagonal/>
    </border>
    <border>
      <left style="thin">
        <color theme="0" tint="-0.24994659260841701"/>
      </left>
      <right style="medium">
        <color theme="0" tint="-0.24994659260841701"/>
      </right>
      <top/>
      <bottom/>
      <diagonal/>
    </border>
    <border>
      <left/>
      <right/>
      <top/>
      <bottom style="medium">
        <color theme="0" tint="-0.34998626667073579"/>
      </bottom>
      <diagonal/>
    </border>
    <border>
      <left style="medium">
        <color theme="0" tint="-0.24994659260841701"/>
      </left>
      <right style="thin">
        <color theme="0" tint="-0.24994659260841701"/>
      </right>
      <top/>
      <bottom style="medium">
        <color theme="0" tint="-0.34998626667073579"/>
      </bottom>
      <diagonal/>
    </border>
    <border>
      <left style="thin">
        <color theme="0" tint="-0.24994659260841701"/>
      </left>
      <right style="thin">
        <color theme="0" tint="-0.24994659260841701"/>
      </right>
      <top/>
      <bottom style="medium">
        <color theme="0" tint="-0.34998626667073579"/>
      </bottom>
      <diagonal/>
    </border>
    <border>
      <left style="thin">
        <color theme="0" tint="-0.24994659260841701"/>
      </left>
      <right style="medium">
        <color theme="0" tint="-0.24994659260841701"/>
      </right>
      <top/>
      <bottom style="medium">
        <color theme="0" tint="-0.34998626667073579"/>
      </bottom>
      <diagonal/>
    </border>
    <border>
      <left/>
      <right/>
      <top/>
      <bottom style="thin">
        <color theme="0" tint="-0.24994659260841701"/>
      </bottom>
      <diagonal/>
    </border>
    <border>
      <left style="thin">
        <color indexed="22"/>
      </left>
      <right/>
      <top style="thin">
        <color indexed="22"/>
      </top>
      <bottom style="thin">
        <color indexed="22"/>
      </bottom>
      <diagonal/>
    </border>
    <border>
      <left/>
      <right style="thin">
        <color indexed="22"/>
      </right>
      <top style="thin">
        <color indexed="22"/>
      </top>
      <bottom style="thin">
        <color indexed="22"/>
      </bottom>
      <diagonal/>
    </border>
  </borders>
  <cellStyleXfs count="44">
    <xf numFmtId="0" fontId="0" fillId="0" borderId="0"/>
    <xf numFmtId="0" fontId="12" fillId="2" borderId="0" applyNumberFormat="0" applyBorder="0" applyAlignment="0" applyProtection="0"/>
    <xf numFmtId="0" fontId="12" fillId="3" borderId="0" applyNumberFormat="0" applyBorder="0" applyAlignment="0" applyProtection="0"/>
    <xf numFmtId="0" fontId="12" fillId="3" borderId="0" applyNumberFormat="0" applyBorder="0" applyAlignment="0" applyProtection="0"/>
    <xf numFmtId="0" fontId="12" fillId="2" borderId="0" applyNumberFormat="0" applyBorder="0" applyAlignment="0" applyProtection="0"/>
    <xf numFmtId="0" fontId="12" fillId="4" borderId="0" applyNumberFormat="0" applyBorder="0" applyAlignment="0" applyProtection="0"/>
    <xf numFmtId="0" fontId="12" fillId="5" borderId="0" applyNumberFormat="0" applyBorder="0" applyAlignment="0" applyProtection="0"/>
    <xf numFmtId="0" fontId="12" fillId="6" borderId="0" applyNumberFormat="0" applyBorder="0" applyAlignment="0" applyProtection="0"/>
    <xf numFmtId="0" fontId="12" fillId="7" borderId="0" applyNumberFormat="0" applyBorder="0" applyAlignment="0" applyProtection="0"/>
    <xf numFmtId="0" fontId="12" fillId="7" borderId="0" applyNumberFormat="0" applyBorder="0" applyAlignment="0" applyProtection="0"/>
    <xf numFmtId="0" fontId="12" fillId="6" borderId="0" applyNumberFormat="0" applyBorder="0" applyAlignment="0" applyProtection="0"/>
    <xf numFmtId="0" fontId="12" fillId="4" borderId="0" applyNumberFormat="0" applyBorder="0" applyAlignment="0" applyProtection="0"/>
    <xf numFmtId="0" fontId="12" fillId="5" borderId="0" applyNumberFormat="0" applyBorder="0" applyAlignment="0" applyProtection="0"/>
    <xf numFmtId="0" fontId="13" fillId="8"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8" borderId="0" applyNumberFormat="0" applyBorder="0" applyAlignment="0" applyProtection="0"/>
    <xf numFmtId="0" fontId="13" fillId="10" borderId="0" applyNumberFormat="0" applyBorder="0" applyAlignment="0" applyProtection="0"/>
    <xf numFmtId="0" fontId="13" fillId="11" borderId="0" applyNumberFormat="0" applyBorder="0" applyAlignment="0" applyProtection="0"/>
    <xf numFmtId="0" fontId="13" fillId="10" borderId="0" applyNumberFormat="0" applyBorder="0" applyAlignment="0" applyProtection="0"/>
    <xf numFmtId="0" fontId="13" fillId="12" borderId="0" applyNumberFormat="0" applyBorder="0" applyAlignment="0" applyProtection="0"/>
    <xf numFmtId="0" fontId="13" fillId="9" borderId="0" applyNumberFormat="0" applyBorder="0" applyAlignment="0" applyProtection="0"/>
    <xf numFmtId="0" fontId="13" fillId="13" borderId="0" applyNumberFormat="0" applyBorder="0" applyAlignment="0" applyProtection="0"/>
    <xf numFmtId="0" fontId="13" fillId="14" borderId="0" applyNumberFormat="0" applyBorder="0" applyAlignment="0" applyProtection="0"/>
    <xf numFmtId="0" fontId="13" fillId="15" borderId="0" applyNumberFormat="0" applyBorder="0" applyAlignment="0" applyProtection="0"/>
    <xf numFmtId="0" fontId="14" fillId="16" borderId="0" applyNumberFormat="0" applyBorder="0" applyAlignment="0" applyProtection="0"/>
    <xf numFmtId="0" fontId="15" fillId="17" borderId="1" applyNumberFormat="0" applyAlignment="0" applyProtection="0"/>
    <xf numFmtId="0" fontId="16" fillId="18" borderId="2" applyNumberFormat="0" applyAlignment="0" applyProtection="0"/>
    <xf numFmtId="0" fontId="17" fillId="0" borderId="0" applyNumberFormat="0" applyFill="0" applyBorder="0" applyAlignment="0" applyProtection="0"/>
    <xf numFmtId="0" fontId="18" fillId="19" borderId="0" applyNumberFormat="0" applyBorder="0" applyAlignment="0" applyProtection="0"/>
    <xf numFmtId="0" fontId="19" fillId="0" borderId="3" applyNumberFormat="0" applyFill="0" applyAlignment="0" applyProtection="0"/>
    <xf numFmtId="0" fontId="20" fillId="0" borderId="4" applyNumberFormat="0" applyFill="0" applyAlignment="0" applyProtection="0"/>
    <xf numFmtId="0" fontId="21" fillId="0" borderId="5" applyNumberFormat="0" applyFill="0" applyAlignment="0" applyProtection="0"/>
    <xf numFmtId="0" fontId="21" fillId="0" borderId="0" applyNumberFormat="0" applyFill="0" applyBorder="0" applyAlignment="0" applyProtection="0"/>
    <xf numFmtId="0" fontId="2" fillId="0" borderId="0" applyNumberFormat="0" applyFill="0" applyBorder="0" applyAlignment="0" applyProtection="0">
      <alignment vertical="top"/>
      <protection locked="0"/>
    </xf>
    <xf numFmtId="0" fontId="22" fillId="11" borderId="1" applyNumberFormat="0" applyAlignment="0" applyProtection="0"/>
    <xf numFmtId="0" fontId="23" fillId="0" borderId="6" applyNumberFormat="0" applyFill="0" applyAlignment="0" applyProtection="0"/>
    <xf numFmtId="0" fontId="24" fillId="5" borderId="0" applyNumberFormat="0" applyBorder="0" applyAlignment="0" applyProtection="0"/>
    <xf numFmtId="0" fontId="6" fillId="5" borderId="7" applyNumberFormat="0" applyFont="0" applyAlignment="0" applyProtection="0"/>
    <xf numFmtId="0" fontId="25" fillId="17" borderId="8" applyNumberFormat="0" applyAlignment="0" applyProtection="0"/>
    <xf numFmtId="9" fontId="1" fillId="0" borderId="0" applyFont="0" applyFill="0" applyBorder="0" applyAlignment="0" applyProtection="0"/>
    <xf numFmtId="0" fontId="26" fillId="0" borderId="0" applyNumberFormat="0" applyFill="0" applyBorder="0" applyAlignment="0" applyProtection="0"/>
    <xf numFmtId="0" fontId="27" fillId="0" borderId="9" applyNumberFormat="0" applyFill="0" applyAlignment="0" applyProtection="0"/>
    <xf numFmtId="0" fontId="28" fillId="0" borderId="0" applyNumberFormat="0" applyFill="0" applyBorder="0" applyAlignment="0" applyProtection="0"/>
  </cellStyleXfs>
  <cellXfs count="124">
    <xf numFmtId="0" fontId="0" fillId="0" borderId="0" xfId="0"/>
    <xf numFmtId="0" fontId="0" fillId="20" borderId="0" xfId="0" applyFill="1"/>
    <xf numFmtId="0" fontId="1" fillId="0" borderId="0" xfId="0" applyFont="1"/>
    <xf numFmtId="0" fontId="3" fillId="0" borderId="0" xfId="0" applyFont="1" applyAlignment="1">
      <alignment horizontal="right"/>
    </xf>
    <xf numFmtId="0" fontId="7" fillId="0" borderId="0" xfId="0" applyFont="1"/>
    <xf numFmtId="0" fontId="1" fillId="0" borderId="0" xfId="0" applyFont="1" applyAlignment="1">
      <alignment horizontal="left" wrapText="1" indent="1"/>
    </xf>
    <xf numFmtId="0" fontId="1" fillId="0" borderId="13" xfId="0" applyFont="1" applyBorder="1"/>
    <xf numFmtId="0" fontId="0" fillId="0" borderId="13" xfId="0" applyBorder="1"/>
    <xf numFmtId="0" fontId="29" fillId="0" borderId="13" xfId="0" applyFont="1" applyBorder="1" applyAlignment="1">
      <alignment horizontal="left" wrapText="1"/>
    </xf>
    <xf numFmtId="0" fontId="5" fillId="0" borderId="13" xfId="0" applyFont="1" applyBorder="1" applyAlignment="1">
      <alignment horizontal="left" wrapText="1"/>
    </xf>
    <xf numFmtId="0" fontId="29" fillId="0" borderId="13" xfId="0" applyFont="1" applyBorder="1" applyAlignment="1">
      <alignment horizontal="left"/>
    </xf>
    <xf numFmtId="0" fontId="3" fillId="0" borderId="0" xfId="0" applyFont="1" applyAlignment="1">
      <alignment wrapText="1"/>
    </xf>
    <xf numFmtId="0" fontId="10" fillId="0" borderId="0" xfId="0" applyFont="1" applyProtection="1">
      <protection locked="0"/>
    </xf>
    <xf numFmtId="0" fontId="34" fillId="0" borderId="0" xfId="34" applyFont="1" applyAlignment="1" applyProtection="1"/>
    <xf numFmtId="0" fontId="35" fillId="0" borderId="0" xfId="0" applyFont="1"/>
    <xf numFmtId="0" fontId="36" fillId="0" borderId="0" xfId="0" applyFont="1"/>
    <xf numFmtId="0" fontId="33" fillId="0" borderId="0" xfId="0" applyFont="1"/>
    <xf numFmtId="0" fontId="3" fillId="0" borderId="0" xfId="0" applyFont="1" applyAlignment="1">
      <alignment horizontal="left" vertical="center"/>
    </xf>
    <xf numFmtId="0" fontId="2" fillId="0" borderId="0" xfId="34" applyAlignment="1" applyProtection="1">
      <alignment horizontal="left"/>
    </xf>
    <xf numFmtId="0" fontId="4" fillId="20" borderId="0" xfId="34" applyNumberFormat="1" applyFont="1" applyFill="1" applyAlignment="1" applyProtection="1">
      <alignment horizontal="right"/>
      <protection locked="0"/>
    </xf>
    <xf numFmtId="0" fontId="32" fillId="0" borderId="0" xfId="0" applyFont="1" applyAlignment="1">
      <alignment vertical="center"/>
    </xf>
    <xf numFmtId="0" fontId="29" fillId="0" borderId="14" xfId="0" applyFont="1" applyBorder="1" applyAlignment="1">
      <alignment horizontal="left" wrapText="1"/>
    </xf>
    <xf numFmtId="0" fontId="30" fillId="0" borderId="13" xfId="34" applyFont="1" applyBorder="1" applyAlignment="1" applyProtection="1">
      <alignment horizontal="left" wrapText="1"/>
    </xf>
    <xf numFmtId="0" fontId="37" fillId="0" borderId="14" xfId="34" applyFont="1" applyBorder="1" applyAlignment="1" applyProtection="1">
      <alignment wrapText="1"/>
    </xf>
    <xf numFmtId="0" fontId="32" fillId="0" borderId="0" xfId="0" applyFont="1" applyAlignment="1">
      <alignment horizontal="left" vertical="center"/>
    </xf>
    <xf numFmtId="0" fontId="31" fillId="0" borderId="0" xfId="0" applyFont="1" applyAlignment="1">
      <alignment horizontal="left" vertical="center"/>
    </xf>
    <xf numFmtId="0" fontId="1" fillId="0" borderId="14" xfId="0" applyFont="1" applyBorder="1"/>
    <xf numFmtId="0" fontId="0" fillId="0" borderId="14" xfId="0" applyBorder="1"/>
    <xf numFmtId="0" fontId="29" fillId="0" borderId="0" xfId="0" applyFont="1" applyAlignment="1">
      <alignment horizontal="left" wrapText="1"/>
    </xf>
    <xf numFmtId="0" fontId="9" fillId="0" borderId="0" xfId="0" applyFont="1" applyAlignment="1" applyProtection="1">
      <alignment vertical="center"/>
      <protection locked="0"/>
    </xf>
    <xf numFmtId="0" fontId="43" fillId="0" borderId="0" xfId="0" applyFont="1"/>
    <xf numFmtId="0" fontId="44" fillId="0" borderId="0" xfId="0" applyFont="1" applyAlignment="1" applyProtection="1">
      <alignment vertical="center"/>
      <protection locked="0"/>
    </xf>
    <xf numFmtId="0" fontId="46" fillId="22" borderId="10" xfId="0" applyFont="1" applyFill="1" applyBorder="1" applyAlignment="1">
      <alignment horizontal="left" vertical="center"/>
    </xf>
    <xf numFmtId="0" fontId="46" fillId="22" borderId="10" xfId="0" applyFont="1" applyFill="1" applyBorder="1" applyAlignment="1">
      <alignment vertical="center"/>
    </xf>
    <xf numFmtId="0" fontId="42" fillId="22" borderId="10" xfId="0" applyFont="1" applyFill="1" applyBorder="1" applyAlignment="1">
      <alignment vertical="center"/>
    </xf>
    <xf numFmtId="0" fontId="42" fillId="22" borderId="10" xfId="0" applyFont="1" applyFill="1" applyBorder="1" applyAlignment="1">
      <alignment horizontal="center" vertical="center"/>
    </xf>
    <xf numFmtId="1" fontId="42" fillId="22" borderId="10" xfId="40" applyNumberFormat="1" applyFont="1" applyFill="1" applyBorder="1" applyAlignment="1" applyProtection="1">
      <alignment horizontal="center" vertical="center"/>
    </xf>
    <xf numFmtId="9" fontId="42" fillId="22" borderId="10" xfId="40" applyFont="1" applyFill="1" applyBorder="1" applyAlignment="1" applyProtection="1">
      <alignment horizontal="center" vertical="center"/>
    </xf>
    <xf numFmtId="1" fontId="42" fillId="22" borderId="10" xfId="0" applyNumberFormat="1" applyFont="1" applyFill="1" applyBorder="1" applyAlignment="1">
      <alignment horizontal="center" vertical="center"/>
    </xf>
    <xf numFmtId="0" fontId="42" fillId="0" borderId="10" xfId="0" applyFont="1" applyBorder="1" applyAlignment="1">
      <alignment horizontal="left" vertical="center"/>
    </xf>
    <xf numFmtId="0" fontId="42" fillId="0" borderId="10" xfId="0" applyFont="1" applyBorder="1" applyAlignment="1">
      <alignment vertical="center"/>
    </xf>
    <xf numFmtId="1" fontId="47" fillId="24" borderId="11" xfId="0" applyNumberFormat="1" applyFont="1" applyFill="1" applyBorder="1" applyAlignment="1">
      <alignment horizontal="center" vertical="center"/>
    </xf>
    <xf numFmtId="9" fontId="47" fillId="24" borderId="11" xfId="40" applyFont="1" applyFill="1" applyBorder="1" applyAlignment="1" applyProtection="1">
      <alignment horizontal="center" vertical="center"/>
    </xf>
    <xf numFmtId="1" fontId="47" fillId="0" borderId="11" xfId="0" applyNumberFormat="1" applyFont="1" applyBorder="1" applyAlignment="1">
      <alignment horizontal="center" vertical="center"/>
    </xf>
    <xf numFmtId="0" fontId="48" fillId="0" borderId="10" xfId="0" applyFont="1" applyBorder="1" applyAlignment="1">
      <alignment vertical="center"/>
    </xf>
    <xf numFmtId="0" fontId="42" fillId="0" borderId="10" xfId="0" applyFont="1" applyBorder="1" applyAlignment="1">
      <alignment horizontal="center" vertical="center"/>
    </xf>
    <xf numFmtId="1" fontId="42" fillId="0" borderId="10" xfId="40" applyNumberFormat="1" applyFont="1" applyFill="1" applyBorder="1" applyAlignment="1" applyProtection="1">
      <alignment horizontal="center" vertical="center"/>
    </xf>
    <xf numFmtId="9" fontId="42" fillId="0" borderId="10" xfId="40" applyFont="1" applyFill="1" applyBorder="1" applyAlignment="1" applyProtection="1">
      <alignment horizontal="center" vertical="center"/>
    </xf>
    <xf numFmtId="1" fontId="42" fillId="0" borderId="10" xfId="0" applyNumberFormat="1" applyFont="1" applyBorder="1" applyAlignment="1">
      <alignment horizontal="center" vertical="center"/>
    </xf>
    <xf numFmtId="0" fontId="42" fillId="0" borderId="0" xfId="0" applyFont="1" applyAlignment="1">
      <alignment vertical="center"/>
    </xf>
    <xf numFmtId="178" fontId="3" fillId="0" borderId="12" xfId="0" applyNumberFormat="1" applyFont="1" applyBorder="1" applyAlignment="1">
      <alignment horizontal="center" vertical="center" shrinkToFit="1"/>
    </xf>
    <xf numFmtId="0" fontId="46" fillId="22" borderId="15" xfId="0" applyFont="1" applyFill="1" applyBorder="1" applyAlignment="1">
      <alignment horizontal="left" vertical="center"/>
    </xf>
    <xf numFmtId="0" fontId="46" fillId="22" borderId="15" xfId="0" applyFont="1" applyFill="1" applyBorder="1" applyAlignment="1">
      <alignment vertical="center"/>
    </xf>
    <xf numFmtId="0" fontId="42" fillId="22" borderId="15" xfId="0" applyFont="1" applyFill="1" applyBorder="1" applyAlignment="1">
      <alignment vertical="center"/>
    </xf>
    <xf numFmtId="0" fontId="42" fillId="22" borderId="15" xfId="0" applyFont="1" applyFill="1" applyBorder="1" applyAlignment="1">
      <alignment horizontal="center" vertical="center"/>
    </xf>
    <xf numFmtId="177" fontId="42" fillId="22" borderId="15" xfId="0" applyNumberFormat="1" applyFont="1" applyFill="1" applyBorder="1" applyAlignment="1">
      <alignment horizontal="right" vertical="center"/>
    </xf>
    <xf numFmtId="1" fontId="42" fillId="22" borderId="15" xfId="40" applyNumberFormat="1" applyFont="1" applyFill="1" applyBorder="1" applyAlignment="1" applyProtection="1">
      <alignment horizontal="center" vertical="center"/>
    </xf>
    <xf numFmtId="9" fontId="42" fillId="22" borderId="15" xfId="40" applyFont="1" applyFill="1" applyBorder="1" applyAlignment="1" applyProtection="1">
      <alignment horizontal="center" vertical="center"/>
    </xf>
    <xf numFmtId="1" fontId="42" fillId="22" borderId="15" xfId="0" applyNumberFormat="1" applyFont="1" applyFill="1" applyBorder="1" applyAlignment="1">
      <alignment horizontal="center" vertical="center"/>
    </xf>
    <xf numFmtId="178" fontId="3" fillId="0" borderId="17" xfId="0" applyNumberFormat="1" applyFont="1" applyBorder="1" applyAlignment="1">
      <alignment horizontal="center" vertical="center" shrinkToFit="1"/>
    </xf>
    <xf numFmtId="178" fontId="3" fillId="0" borderId="18" xfId="0" applyNumberFormat="1" applyFont="1" applyBorder="1" applyAlignment="1">
      <alignment horizontal="center" vertical="center" shrinkToFit="1"/>
    </xf>
    <xf numFmtId="1" fontId="50" fillId="22" borderId="15" xfId="0" applyNumberFormat="1" applyFont="1" applyFill="1" applyBorder="1" applyAlignment="1">
      <alignment horizontal="center" vertical="center"/>
    </xf>
    <xf numFmtId="1" fontId="51" fillId="0" borderId="11" xfId="0" applyNumberFormat="1" applyFont="1" applyBorder="1" applyAlignment="1">
      <alignment horizontal="center" vertical="center"/>
    </xf>
    <xf numFmtId="1" fontId="50" fillId="22" borderId="10" xfId="0" applyNumberFormat="1" applyFont="1" applyFill="1" applyBorder="1" applyAlignment="1">
      <alignment horizontal="center" vertical="center"/>
    </xf>
    <xf numFmtId="1" fontId="50" fillId="0" borderId="10" xfId="0" applyNumberFormat="1" applyFont="1" applyBorder="1" applyAlignment="1">
      <alignment horizontal="center" vertical="center"/>
    </xf>
    <xf numFmtId="177" fontId="47" fillId="23" borderId="11" xfId="0" applyNumberFormat="1" applyFont="1" applyFill="1" applyBorder="1" applyAlignment="1">
      <alignment horizontal="center" vertical="center"/>
    </xf>
    <xf numFmtId="177" fontId="47" fillId="0" borderId="11" xfId="0" applyNumberFormat="1" applyFont="1" applyBorder="1" applyAlignment="1">
      <alignment horizontal="center" vertical="center"/>
    </xf>
    <xf numFmtId="177" fontId="42" fillId="22" borderId="10" xfId="0" applyNumberFormat="1" applyFont="1" applyFill="1" applyBorder="1" applyAlignment="1">
      <alignment horizontal="center" vertical="center"/>
    </xf>
    <xf numFmtId="0" fontId="48" fillId="0" borderId="10" xfId="0" applyFont="1" applyBorder="1" applyAlignment="1">
      <alignment horizontal="center" vertical="center"/>
    </xf>
    <xf numFmtId="0" fontId="42" fillId="22" borderId="15" xfId="0" applyFont="1" applyFill="1" applyBorder="1" applyAlignment="1">
      <alignment horizontal="left" vertical="center"/>
    </xf>
    <xf numFmtId="0" fontId="42" fillId="22" borderId="10" xfId="0" applyFont="1" applyFill="1" applyBorder="1" applyAlignment="1">
      <alignment horizontal="left" vertical="center"/>
    </xf>
    <xf numFmtId="0" fontId="52" fillId="0" borderId="0" xfId="0" applyFont="1"/>
    <xf numFmtId="0" fontId="52" fillId="0" borderId="0" xfId="0" applyFont="1" applyAlignment="1">
      <alignment horizontal="right" vertical="center"/>
    </xf>
    <xf numFmtId="177" fontId="42" fillId="22" borderId="15" xfId="0" applyNumberFormat="1" applyFont="1" applyFill="1" applyBorder="1" applyAlignment="1">
      <alignment horizontal="center" vertical="center"/>
    </xf>
    <xf numFmtId="0" fontId="53" fillId="0" borderId="19" xfId="0" applyFont="1" applyBorder="1" applyAlignment="1">
      <alignment horizontal="left" vertical="center"/>
    </xf>
    <xf numFmtId="0" fontId="53" fillId="0" borderId="19" xfId="0" applyFont="1" applyBorder="1" applyAlignment="1">
      <alignment horizontal="center" vertical="center" wrapText="1"/>
    </xf>
    <xf numFmtId="0" fontId="54" fillId="0" borderId="19" xfId="0" applyFont="1" applyBorder="1" applyAlignment="1">
      <alignment horizontal="center" vertical="center" wrapText="1"/>
    </xf>
    <xf numFmtId="0" fontId="53" fillId="0" borderId="19" xfId="0" applyFont="1" applyBorder="1" applyAlignment="1">
      <alignment horizontal="center" vertical="center"/>
    </xf>
    <xf numFmtId="0" fontId="42" fillId="0" borderId="20" xfId="0" applyFont="1" applyBorder="1" applyAlignment="1">
      <alignment horizontal="center" vertical="center" shrinkToFit="1"/>
    </xf>
    <xf numFmtId="0" fontId="42" fillId="0" borderId="21" xfId="0" applyFont="1" applyBorder="1" applyAlignment="1">
      <alignment horizontal="center" vertical="center" shrinkToFit="1"/>
    </xf>
    <xf numFmtId="0" fontId="42" fillId="0" borderId="22" xfId="0" applyFont="1" applyBorder="1" applyAlignment="1">
      <alignment horizontal="center" vertical="center" shrinkToFit="1"/>
    </xf>
    <xf numFmtId="0" fontId="55" fillId="0" borderId="0" xfId="0" applyFont="1" applyAlignment="1" applyProtection="1">
      <alignment vertical="center"/>
      <protection locked="0"/>
    </xf>
    <xf numFmtId="0" fontId="42" fillId="0" borderId="10" xfId="0" applyFont="1" applyBorder="1" applyAlignment="1">
      <alignment vertical="center" wrapText="1"/>
    </xf>
    <xf numFmtId="0" fontId="47" fillId="0" borderId="11" xfId="0" applyFont="1" applyBorder="1" applyAlignment="1">
      <alignment horizontal="center" vertical="center"/>
    </xf>
    <xf numFmtId="0" fontId="42" fillId="0" borderId="10" xfId="0" applyFont="1" applyBorder="1" applyAlignment="1">
      <alignment horizontal="left" vertical="center" wrapText="1" indent="1"/>
    </xf>
    <xf numFmtId="0" fontId="45" fillId="0" borderId="23" xfId="0" applyFont="1" applyBorder="1" applyAlignment="1" applyProtection="1">
      <alignment horizontal="center" vertical="center"/>
      <protection locked="0"/>
    </xf>
    <xf numFmtId="0" fontId="1" fillId="0" borderId="0" xfId="0" applyFont="1" applyAlignment="1">
      <alignment horizontal="right" vertical="center"/>
    </xf>
    <xf numFmtId="0" fontId="58" fillId="0" borderId="0" xfId="0" applyFont="1"/>
    <xf numFmtId="0" fontId="1" fillId="0" borderId="0" xfId="0" applyFont="1" applyAlignment="1">
      <alignment vertical="center"/>
    </xf>
    <xf numFmtId="0" fontId="1" fillId="24" borderId="0" xfId="0" applyFont="1" applyFill="1" applyAlignment="1">
      <alignment horizontal="center" vertical="center"/>
    </xf>
    <xf numFmtId="0" fontId="1" fillId="21" borderId="0" xfId="0" applyFont="1" applyFill="1" applyAlignment="1">
      <alignment horizontal="center" vertical="center"/>
    </xf>
    <xf numFmtId="0" fontId="59" fillId="0" borderId="0" xfId="0" applyFont="1" applyAlignment="1">
      <alignment wrapText="1"/>
    </xf>
    <xf numFmtId="0" fontId="37" fillId="0" borderId="0" xfId="34" applyFont="1" applyAlignment="1" applyProtection="1"/>
    <xf numFmtId="0" fontId="59" fillId="0" borderId="0" xfId="0" applyFont="1" applyAlignment="1">
      <alignment horizontal="left" wrapText="1"/>
    </xf>
    <xf numFmtId="0" fontId="59" fillId="0" borderId="0" xfId="0" applyFont="1" applyAlignment="1">
      <alignment vertical="center" wrapText="1"/>
    </xf>
    <xf numFmtId="0" fontId="60" fillId="0" borderId="0" xfId="0" applyFont="1" applyAlignment="1">
      <alignment vertical="center"/>
    </xf>
    <xf numFmtId="0" fontId="60" fillId="0" borderId="0" xfId="0" applyFont="1"/>
    <xf numFmtId="0" fontId="61" fillId="0" borderId="0" xfId="0" applyFont="1" applyAlignment="1">
      <alignment vertical="center" wrapText="1"/>
    </xf>
    <xf numFmtId="0" fontId="37" fillId="0" borderId="0" xfId="34" applyFont="1" applyFill="1" applyBorder="1" applyAlignment="1" applyProtection="1">
      <alignment vertical="center"/>
    </xf>
    <xf numFmtId="0" fontId="63" fillId="0" borderId="0" xfId="0" applyFont="1" applyAlignment="1">
      <alignment horizontal="right"/>
    </xf>
    <xf numFmtId="0" fontId="59" fillId="0" borderId="0" xfId="0" applyFont="1"/>
    <xf numFmtId="0" fontId="59" fillId="0" borderId="0" xfId="0" applyFont="1" applyAlignment="1">
      <alignment horizontal="left" indent="1"/>
    </xf>
    <xf numFmtId="0" fontId="59" fillId="0" borderId="0" xfId="0" quotePrefix="1" applyFont="1" applyAlignment="1">
      <alignment horizontal="left" wrapText="1" indent="1"/>
    </xf>
    <xf numFmtId="0" fontId="36" fillId="0" borderId="0" xfId="0" quotePrefix="1" applyFont="1" applyAlignment="1">
      <alignment horizontal="left" indent="1"/>
    </xf>
    <xf numFmtId="0" fontId="63" fillId="0" borderId="0" xfId="0" applyFont="1" applyAlignment="1">
      <alignment horizontal="left" wrapText="1"/>
    </xf>
    <xf numFmtId="0" fontId="59" fillId="0" borderId="0" xfId="0" applyFont="1" applyAlignment="1">
      <alignment horizontal="left" vertical="center" wrapText="1"/>
    </xf>
    <xf numFmtId="0" fontId="65" fillId="0" borderId="0" xfId="0" applyFont="1" applyAlignment="1">
      <alignment horizontal="right"/>
    </xf>
    <xf numFmtId="0" fontId="66" fillId="0" borderId="0" xfId="0" applyFont="1" applyAlignment="1">
      <alignment vertical="center" wrapText="1"/>
    </xf>
    <xf numFmtId="0" fontId="59" fillId="0" borderId="0" xfId="0" quotePrefix="1" applyFont="1" applyAlignment="1">
      <alignment wrapText="1"/>
    </xf>
    <xf numFmtId="0" fontId="66" fillId="0" borderId="0" xfId="0" applyFont="1"/>
    <xf numFmtId="0" fontId="11" fillId="0" borderId="0" xfId="0" applyFont="1" applyProtection="1">
      <protection locked="0"/>
    </xf>
    <xf numFmtId="0" fontId="65" fillId="0" borderId="0" xfId="0" applyFont="1"/>
    <xf numFmtId="0" fontId="42" fillId="0" borderId="24" xfId="0" applyFont="1" applyBorder="1" applyAlignment="1">
      <alignment horizontal="left" vertical="center"/>
    </xf>
    <xf numFmtId="0" fontId="42" fillId="0" borderId="25" xfId="0" applyFont="1" applyBorder="1" applyAlignment="1">
      <alignment horizontal="left" vertical="center"/>
    </xf>
    <xf numFmtId="0" fontId="49" fillId="0" borderId="17" xfId="0" applyFont="1" applyBorder="1" applyAlignment="1">
      <alignment horizontal="center" vertical="center"/>
    </xf>
    <xf numFmtId="0" fontId="49" fillId="0" borderId="12" xfId="0" applyFont="1" applyBorder="1" applyAlignment="1">
      <alignment horizontal="center" vertical="center"/>
    </xf>
    <xf numFmtId="0" fontId="49" fillId="0" borderId="18" xfId="0" applyFont="1" applyBorder="1" applyAlignment="1">
      <alignment horizontal="center" vertical="center"/>
    </xf>
    <xf numFmtId="179" fontId="45" fillId="0" borderId="17" xfId="0" applyNumberFormat="1" applyFont="1" applyBorder="1" applyAlignment="1">
      <alignment horizontal="center" vertical="center"/>
    </xf>
    <xf numFmtId="179" fontId="45" fillId="0" borderId="12" xfId="0" applyNumberFormat="1" applyFont="1" applyBorder="1" applyAlignment="1">
      <alignment horizontal="center" vertical="center"/>
    </xf>
    <xf numFmtId="179" fontId="45" fillId="0" borderId="18" xfId="0" applyNumberFormat="1" applyFont="1" applyBorder="1" applyAlignment="1">
      <alignment horizontal="center" vertical="center"/>
    </xf>
    <xf numFmtId="0" fontId="56" fillId="0" borderId="0" xfId="34" applyFont="1" applyBorder="1" applyAlignment="1" applyProtection="1">
      <alignment horizontal="left" vertical="center"/>
    </xf>
    <xf numFmtId="176" fontId="45" fillId="0" borderId="16" xfId="0" applyNumberFormat="1" applyFont="1" applyBorder="1" applyAlignment="1" applyProtection="1">
      <alignment horizontal="center" vertical="center" shrinkToFit="1"/>
      <protection locked="0"/>
    </xf>
    <xf numFmtId="176" fontId="45" fillId="0" borderId="23" xfId="0" applyNumberFormat="1" applyFont="1" applyBorder="1" applyAlignment="1" applyProtection="1">
      <alignment horizontal="center" vertical="center" shrinkToFit="1"/>
      <protection locked="0"/>
    </xf>
    <xf numFmtId="0" fontId="58" fillId="0" borderId="0" xfId="0" applyFont="1" applyAlignment="1">
      <alignment horizontal="left"/>
    </xf>
  </cellXfs>
  <cellStyles count="44">
    <cellStyle name="20% - 강조색1" xfId="1" builtinId="30" customBuiltin="1"/>
    <cellStyle name="20% - 강조색2" xfId="2" builtinId="34" customBuiltin="1"/>
    <cellStyle name="20% - 강조색3" xfId="3" builtinId="38" customBuiltin="1"/>
    <cellStyle name="20% - 강조색4" xfId="4" builtinId="42" customBuiltin="1"/>
    <cellStyle name="20% - 강조색5" xfId="5" builtinId="46" customBuiltin="1"/>
    <cellStyle name="20% - 강조색6" xfId="6" builtinId="50" customBuiltin="1"/>
    <cellStyle name="40% - 강조색1" xfId="7" builtinId="31" customBuiltin="1"/>
    <cellStyle name="40% - 강조색2" xfId="8" builtinId="35" customBuiltin="1"/>
    <cellStyle name="40% - 강조색3" xfId="9" builtinId="39" customBuiltin="1"/>
    <cellStyle name="40% - 강조색4" xfId="10" builtinId="43" customBuiltin="1"/>
    <cellStyle name="40% - 강조색5" xfId="11" builtinId="47" customBuiltin="1"/>
    <cellStyle name="40% - 강조색6" xfId="12" builtinId="51" customBuiltin="1"/>
    <cellStyle name="60% - 강조색1" xfId="13" builtinId="32" customBuiltin="1"/>
    <cellStyle name="60% - 강조색2" xfId="14" builtinId="36" customBuiltin="1"/>
    <cellStyle name="60% - 강조색3" xfId="15" builtinId="40" customBuiltin="1"/>
    <cellStyle name="60% - 강조색4" xfId="16" builtinId="44" customBuiltin="1"/>
    <cellStyle name="60% - 강조색5" xfId="17" builtinId="48" customBuiltin="1"/>
    <cellStyle name="60% - 강조색6" xfId="18" builtinId="52" customBuiltin="1"/>
    <cellStyle name="강조색1" xfId="19" builtinId="29" customBuiltin="1"/>
    <cellStyle name="강조색2" xfId="20" builtinId="33" customBuiltin="1"/>
    <cellStyle name="강조색3" xfId="21" builtinId="37" customBuiltin="1"/>
    <cellStyle name="강조색4" xfId="22" builtinId="41" customBuiltin="1"/>
    <cellStyle name="강조색5" xfId="23" builtinId="45" customBuiltin="1"/>
    <cellStyle name="강조색6" xfId="24" builtinId="49" customBuiltin="1"/>
    <cellStyle name="경고문" xfId="43" builtinId="11" customBuiltin="1"/>
    <cellStyle name="계산" xfId="26" builtinId="22" customBuiltin="1"/>
    <cellStyle name="나쁨" xfId="25" builtinId="27" customBuiltin="1"/>
    <cellStyle name="메모" xfId="38" builtinId="10" customBuiltin="1"/>
    <cellStyle name="백분율" xfId="40" builtinId="5"/>
    <cellStyle name="보통" xfId="37" builtinId="28" customBuiltin="1"/>
    <cellStyle name="설명 텍스트" xfId="28" builtinId="53" customBuiltin="1"/>
    <cellStyle name="셀 확인" xfId="27" builtinId="23" customBuiltin="1"/>
    <cellStyle name="연결된 셀" xfId="36" builtinId="24" customBuiltin="1"/>
    <cellStyle name="요약" xfId="42" builtinId="25" customBuiltin="1"/>
    <cellStyle name="입력" xfId="35" builtinId="20" customBuiltin="1"/>
    <cellStyle name="제목" xfId="41" builtinId="15" customBuiltin="1"/>
    <cellStyle name="제목 1" xfId="30" builtinId="16" customBuiltin="1"/>
    <cellStyle name="제목 2" xfId="31" builtinId="17" customBuiltin="1"/>
    <cellStyle name="제목 3" xfId="32" builtinId="18" customBuiltin="1"/>
    <cellStyle name="제목 4" xfId="33" builtinId="19" customBuiltin="1"/>
    <cellStyle name="좋음" xfId="29" builtinId="26" customBuiltin="1"/>
    <cellStyle name="출력" xfId="39" builtinId="21" customBuiltin="1"/>
    <cellStyle name="표준" xfId="0" builtinId="0"/>
    <cellStyle name="하이퍼링크" xfId="34" builtinId="8"/>
  </cellStyles>
  <dxfs count="4">
    <dxf>
      <border>
        <left style="thin">
          <color rgb="FFC00000"/>
        </left>
        <right style="thin">
          <color rgb="FFC00000"/>
        </right>
        <vertical/>
        <horizontal/>
      </border>
    </dxf>
    <dxf>
      <fill>
        <patternFill>
          <bgColor rgb="FF0070C0"/>
        </patternFill>
      </fill>
    </dxf>
    <dxf>
      <fill>
        <patternFill>
          <bgColor theme="0" tint="-0.499984740745262"/>
        </patternFill>
      </fill>
    </dxf>
    <dxf>
      <font>
        <color theme="0"/>
      </font>
      <fill>
        <patternFill>
          <bgColor theme="5"/>
        </patternFill>
      </fill>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99FF99"/>
      <rgbColor rgb="000000FF"/>
      <rgbColor rgb="00FFFF00"/>
      <rgbColor rgb="00DE3018"/>
      <rgbColor rgb="0053D4C9"/>
      <rgbColor rgb="006B0C00"/>
      <rgbColor rgb="00006500"/>
      <rgbColor rgb="00182C63"/>
      <rgbColor rgb="00819C00"/>
      <rgbColor rgb="00C9B783"/>
      <rgbColor rgb="00007F74"/>
      <rgbColor rgb="00EAEAEA"/>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6699FF"/>
      <rgbColor rgb="00CCECFF"/>
      <rgbColor rgb="00D6F4D9"/>
      <rgbColor rgb="00FFFFCC"/>
      <rgbColor rgb="0099CCFF"/>
      <rgbColor rgb="00FAC8D7"/>
      <rgbColor rgb="00F3F0E4"/>
      <rgbColor rgb="00E4E8F3"/>
      <rgbColor rgb="001849B5"/>
      <rgbColor rgb="0036ACA2"/>
      <rgbColor rgb="00F0BA00"/>
      <rgbColor rgb="00BCC5E1"/>
      <rgbColor rgb="008394C9"/>
      <rgbColor rgb="003B4E87"/>
      <rgbColor rgb="0087743B"/>
      <rgbColor rgb="00C0C0C0"/>
      <rgbColor rgb="00003366"/>
      <rgbColor rgb="00109618"/>
      <rgbColor rgb="00085108"/>
      <rgbColor rgb="00635100"/>
      <rgbColor rgb="00273359"/>
      <rgbColor rgb="00E1D8BC"/>
      <rgbColor rgb="00594C27"/>
      <rgbColor rgb="00333333"/>
    </indexedColors>
    <mruColors>
      <color rgb="FFFFCCCC"/>
      <color rgb="FFFF9900"/>
      <color rgb="FF91D0FF"/>
      <color rgb="FFCC00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trlProps/ctrlProp1.xml><?xml version="1.0" encoding="utf-8"?>
<formControlPr xmlns="http://schemas.microsoft.com/office/spreadsheetml/2009/9/main" objectType="Scroll" dx="22" fmlaLink="$H$4" horiz="1" max="100" min="1" page="0"/>
</file>

<file path=xl/drawings/_rels/drawing2.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2.png"/></Relationships>
</file>

<file path=xl/drawings/_rels/drawing4.xml.rels><?xml version="1.0" encoding="UTF-8" standalone="yes"?>
<Relationships xmlns="http://schemas.openxmlformats.org/package/2006/relationships"><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xdr:from>
      <xdr:col>19</xdr:col>
      <xdr:colOff>9525</xdr:colOff>
      <xdr:row>38</xdr:row>
      <xdr:rowOff>209550</xdr:rowOff>
    </xdr:from>
    <xdr:to>
      <xdr:col>57</xdr:col>
      <xdr:colOff>57149</xdr:colOff>
      <xdr:row>51</xdr:row>
      <xdr:rowOff>19054</xdr:rowOff>
    </xdr:to>
    <xdr:grpSp>
      <xdr:nvGrpSpPr>
        <xdr:cNvPr id="2" name="그룹 1" hidden="1">
          <a:extLst>
            <a:ext uri="{FF2B5EF4-FFF2-40B4-BE49-F238E27FC236}">
              <a16:creationId xmlns:a16="http://schemas.microsoft.com/office/drawing/2014/main" id="{00000000-0008-0000-0000-000002000000}"/>
            </a:ext>
          </a:extLst>
        </xdr:cNvPr>
        <xdr:cNvGrpSpPr/>
      </xdr:nvGrpSpPr>
      <xdr:grpSpPr>
        <a:xfrm>
          <a:off x="10039350" y="9382125"/>
          <a:ext cx="6200774" cy="2905129"/>
          <a:chOff x="9858375" y="9858375"/>
          <a:chExt cx="6200774" cy="2905129"/>
        </a:xfrm>
      </xdr:grpSpPr>
      <xdr:sp macro="" textlink="">
        <xdr:nvSpPr>
          <xdr:cNvPr id="13" name="화살표: 굽음 12" hidden="1">
            <a:extLst>
              <a:ext uri="{FF2B5EF4-FFF2-40B4-BE49-F238E27FC236}">
                <a16:creationId xmlns:a16="http://schemas.microsoft.com/office/drawing/2014/main" id="{00000000-0008-0000-0000-00000D000000}"/>
              </a:ext>
            </a:extLst>
          </xdr:cNvPr>
          <xdr:cNvSpPr/>
        </xdr:nvSpPr>
        <xdr:spPr>
          <a:xfrm rot="5400000">
            <a:off x="13039729" y="10086979"/>
            <a:ext cx="1219192" cy="2667000"/>
          </a:xfrm>
          <a:prstGeom prst="bentArrow">
            <a:avLst>
              <a:gd name="adj1" fmla="val 8257"/>
              <a:gd name="adj2" fmla="val 10052"/>
              <a:gd name="adj3" fmla="val 17124"/>
              <a:gd name="adj4" fmla="val 15065"/>
            </a:avLst>
          </a:prstGeom>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sp macro="" textlink="">
        <xdr:nvSpPr>
          <xdr:cNvPr id="9" name="화살표: 굽음 8" hidden="1">
            <a:extLst>
              <a:ext uri="{FF2B5EF4-FFF2-40B4-BE49-F238E27FC236}">
                <a16:creationId xmlns:a16="http://schemas.microsoft.com/office/drawing/2014/main" id="{00000000-0008-0000-0000-000009000000}"/>
              </a:ext>
            </a:extLst>
          </xdr:cNvPr>
          <xdr:cNvSpPr/>
        </xdr:nvSpPr>
        <xdr:spPr>
          <a:xfrm rot="5400000">
            <a:off x="10086976" y="9858379"/>
            <a:ext cx="628645" cy="857248"/>
          </a:xfrm>
          <a:prstGeom prst="bentArrow">
            <a:avLst>
              <a:gd name="adj1" fmla="val 8257"/>
              <a:gd name="adj2" fmla="val 13623"/>
              <a:gd name="adj3" fmla="val 17124"/>
              <a:gd name="adj4" fmla="val 15065"/>
            </a:avLst>
          </a:prstGeom>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sp macro="" textlink="">
        <xdr:nvSpPr>
          <xdr:cNvPr id="6" name="별: 꼭짓점 10개 5" hidden="1">
            <a:extLst>
              <a:ext uri="{FF2B5EF4-FFF2-40B4-BE49-F238E27FC236}">
                <a16:creationId xmlns:a16="http://schemas.microsoft.com/office/drawing/2014/main" id="{00000000-0008-0000-0000-000006000000}"/>
              </a:ext>
            </a:extLst>
          </xdr:cNvPr>
          <xdr:cNvSpPr/>
        </xdr:nvSpPr>
        <xdr:spPr>
          <a:xfrm>
            <a:off x="11620500" y="11268075"/>
            <a:ext cx="323850" cy="304800"/>
          </a:xfrm>
          <a:prstGeom prst="star10">
            <a:avLst/>
          </a:prstGeom>
          <a:solidFill>
            <a:srgbClr val="FFFF00"/>
          </a:solid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ko-KR" sz="900" b="1">
                <a:solidFill>
                  <a:schemeClr val="tx1"/>
                </a:solidFill>
              </a:rPr>
              <a:t>?</a:t>
            </a:r>
            <a:endParaRPr lang="ko-KR" altLang="en-US" sz="900" b="1">
              <a:solidFill>
                <a:schemeClr val="tx1"/>
              </a:solidFill>
            </a:endParaRPr>
          </a:p>
        </xdr:txBody>
      </xdr:sp>
      <xdr:sp macro="" textlink="">
        <xdr:nvSpPr>
          <xdr:cNvPr id="7" name="별: 꼭짓점 10개 6" hidden="1">
            <a:extLst>
              <a:ext uri="{FF2B5EF4-FFF2-40B4-BE49-F238E27FC236}">
                <a16:creationId xmlns:a16="http://schemas.microsoft.com/office/drawing/2014/main" id="{00000000-0008-0000-0000-000007000000}"/>
              </a:ext>
            </a:extLst>
          </xdr:cNvPr>
          <xdr:cNvSpPr/>
        </xdr:nvSpPr>
        <xdr:spPr>
          <a:xfrm>
            <a:off x="9858375" y="9858375"/>
            <a:ext cx="323850" cy="314325"/>
          </a:xfrm>
          <a:prstGeom prst="star10">
            <a:avLst/>
          </a:prstGeom>
          <a:solidFill>
            <a:srgbClr val="FFFF00"/>
          </a:solid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sp macro="" textlink="">
        <xdr:nvSpPr>
          <xdr:cNvPr id="8" name="별: 꼭짓점 10개 7" hidden="1">
            <a:extLst>
              <a:ext uri="{FF2B5EF4-FFF2-40B4-BE49-F238E27FC236}">
                <a16:creationId xmlns:a16="http://schemas.microsoft.com/office/drawing/2014/main" id="{00000000-0008-0000-0000-000008000000}"/>
              </a:ext>
            </a:extLst>
          </xdr:cNvPr>
          <xdr:cNvSpPr/>
        </xdr:nvSpPr>
        <xdr:spPr>
          <a:xfrm>
            <a:off x="12144375" y="10668000"/>
            <a:ext cx="323850" cy="314325"/>
          </a:xfrm>
          <a:prstGeom prst="star10">
            <a:avLst/>
          </a:prstGeom>
          <a:solidFill>
            <a:srgbClr val="FFFF00"/>
          </a:solid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sp macro="" textlink="">
        <xdr:nvSpPr>
          <xdr:cNvPr id="10" name="화살표: 굽음 9" hidden="1">
            <a:extLst>
              <a:ext uri="{FF2B5EF4-FFF2-40B4-BE49-F238E27FC236}">
                <a16:creationId xmlns:a16="http://schemas.microsoft.com/office/drawing/2014/main" id="{00000000-0008-0000-0000-00000A000000}"/>
              </a:ext>
            </a:extLst>
          </xdr:cNvPr>
          <xdr:cNvSpPr/>
        </xdr:nvSpPr>
        <xdr:spPr>
          <a:xfrm rot="5400000">
            <a:off x="11630026" y="11106152"/>
            <a:ext cx="200023" cy="180975"/>
          </a:xfrm>
          <a:prstGeom prst="bentArrow">
            <a:avLst>
              <a:gd name="adj1" fmla="val 8257"/>
              <a:gd name="adj2" fmla="val 13623"/>
              <a:gd name="adj3" fmla="val 17124"/>
              <a:gd name="adj4" fmla="val 15065"/>
            </a:avLst>
          </a:prstGeom>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sp macro="" textlink="">
        <xdr:nvSpPr>
          <xdr:cNvPr id="14" name="화살표: 굽음 13" hidden="1">
            <a:extLst>
              <a:ext uri="{FF2B5EF4-FFF2-40B4-BE49-F238E27FC236}">
                <a16:creationId xmlns:a16="http://schemas.microsoft.com/office/drawing/2014/main" id="{00000000-0008-0000-0000-00000E000000}"/>
              </a:ext>
            </a:extLst>
          </xdr:cNvPr>
          <xdr:cNvSpPr/>
        </xdr:nvSpPr>
        <xdr:spPr>
          <a:xfrm rot="5400000">
            <a:off x="15159037" y="11996738"/>
            <a:ext cx="400049" cy="638175"/>
          </a:xfrm>
          <a:prstGeom prst="bentArrow">
            <a:avLst>
              <a:gd name="adj1" fmla="val 8257"/>
              <a:gd name="adj2" fmla="val 10052"/>
              <a:gd name="adj3" fmla="val 17124"/>
              <a:gd name="adj4" fmla="val 15065"/>
            </a:avLst>
          </a:prstGeom>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sp macro="" textlink="">
        <xdr:nvSpPr>
          <xdr:cNvPr id="15" name="화살표: 굽음 14" hidden="1">
            <a:extLst>
              <a:ext uri="{FF2B5EF4-FFF2-40B4-BE49-F238E27FC236}">
                <a16:creationId xmlns:a16="http://schemas.microsoft.com/office/drawing/2014/main" id="{00000000-0008-0000-0000-00000F000000}"/>
              </a:ext>
            </a:extLst>
          </xdr:cNvPr>
          <xdr:cNvSpPr/>
        </xdr:nvSpPr>
        <xdr:spPr>
          <a:xfrm rot="5400000">
            <a:off x="15863886" y="12568241"/>
            <a:ext cx="190501" cy="200025"/>
          </a:xfrm>
          <a:prstGeom prst="bentArrow">
            <a:avLst>
              <a:gd name="adj1" fmla="val 8257"/>
              <a:gd name="adj2" fmla="val 10052"/>
              <a:gd name="adj3" fmla="val 17124"/>
              <a:gd name="adj4" fmla="val 15065"/>
            </a:avLst>
          </a:prstGeom>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grpSp>
    <xdr:clientData/>
  </xdr:twoCellAnchor>
  <xdr:twoCellAnchor editAs="absolute">
    <xdr:from>
      <xdr:col>2</xdr:col>
      <xdr:colOff>1066800</xdr:colOff>
      <xdr:row>5</xdr:row>
      <xdr:rowOff>142875</xdr:rowOff>
    </xdr:from>
    <xdr:to>
      <xdr:col>8</xdr:col>
      <xdr:colOff>352425</xdr:colOff>
      <xdr:row>10</xdr:row>
      <xdr:rowOff>80433</xdr:rowOff>
    </xdr:to>
    <xdr:sp macro="" textlink="">
      <xdr:nvSpPr>
        <xdr:cNvPr id="8236" name="Text Box 44" hidden="1">
          <a:extLst>
            <a:ext uri="{FF2B5EF4-FFF2-40B4-BE49-F238E27FC236}">
              <a16:creationId xmlns:a16="http://schemas.microsoft.com/office/drawing/2014/main" id="{00000000-0008-0000-0000-00002C200000}"/>
            </a:ext>
          </a:extLst>
        </xdr:cNvPr>
        <xdr:cNvSpPr txBox="1">
          <a:spLocks noChangeArrowheads="1"/>
        </xdr:cNvSpPr>
      </xdr:nvSpPr>
      <xdr:spPr bwMode="auto">
        <a:xfrm>
          <a:off x="4953000" y="1371600"/>
          <a:ext cx="3419475" cy="1104900"/>
        </a:xfrm>
        <a:prstGeom prst="rect">
          <a:avLst/>
        </a:prstGeom>
        <a:solidFill>
          <a:srgbClr val="FFFFE1"/>
        </a:solidFill>
        <a:ln w="9525">
          <a:solidFill>
            <a:srgbClr val="000000"/>
          </a:solidFill>
          <a:miter lim="800000"/>
          <a:headEnd/>
          <a:tailEnd/>
        </a:ln>
        <a:effectLst>
          <a:outerShdw dist="35921" dir="2700000" algn="ctr" rotWithShape="0">
            <a:srgbClr val="000000"/>
          </a:outerShdw>
        </a:effectLst>
        <a:extLst>
          <a:ext uri="{53640926-AAD7-44D8-BBD7-CCE9431645EC}">
            <a14:shadowObscured xmlns:a14="http://schemas.microsoft.com/office/drawing/2010/main" val="1"/>
          </a:ext>
        </a:extLst>
      </xdr:spPr>
    </xdr:sp>
    <xdr:clientData/>
  </xdr:twoCellAnchor>
  <mc:AlternateContent xmlns:mc="http://schemas.openxmlformats.org/markup-compatibility/2006">
    <mc:Choice xmlns:a14="http://schemas.microsoft.com/office/drawing/2010/main" Requires="a14">
      <xdr:twoCellAnchor editAs="oneCell">
        <xdr:from>
          <xdr:col>9</xdr:col>
          <xdr:colOff>95250</xdr:colOff>
          <xdr:row>1</xdr:row>
          <xdr:rowOff>123825</xdr:rowOff>
        </xdr:from>
        <xdr:to>
          <xdr:col>27</xdr:col>
          <xdr:colOff>104775</xdr:colOff>
          <xdr:row>2</xdr:row>
          <xdr:rowOff>114300</xdr:rowOff>
        </xdr:to>
        <xdr:sp macro="" textlink="">
          <xdr:nvSpPr>
            <xdr:cNvPr id="8238" name="Scroll Bar 46" hidden="1">
              <a:extLst>
                <a:ext uri="{63B3BB69-23CF-44E3-9099-C40C66FF867C}">
                  <a14:compatExt spid="_x0000_s8238"/>
                </a:ext>
                <a:ext uri="{FF2B5EF4-FFF2-40B4-BE49-F238E27FC236}">
                  <a16:creationId xmlns:a16="http://schemas.microsoft.com/office/drawing/2014/main" id="{00000000-0008-0000-0000-00002E200000}"/>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xdr:twoCellAnchor>
    <xdr:from>
      <xdr:col>17</xdr:col>
      <xdr:colOff>114300</xdr:colOff>
      <xdr:row>9</xdr:row>
      <xdr:rowOff>200025</xdr:rowOff>
    </xdr:from>
    <xdr:to>
      <xdr:col>62</xdr:col>
      <xdr:colOff>57148</xdr:colOff>
      <xdr:row>39</xdr:row>
      <xdr:rowOff>9529</xdr:rowOff>
    </xdr:to>
    <xdr:grpSp>
      <xdr:nvGrpSpPr>
        <xdr:cNvPr id="3" name="그룹 2">
          <a:extLst>
            <a:ext uri="{FF2B5EF4-FFF2-40B4-BE49-F238E27FC236}">
              <a16:creationId xmlns:a16="http://schemas.microsoft.com/office/drawing/2014/main" id="{00000000-0008-0000-0000-000003000000}"/>
            </a:ext>
          </a:extLst>
        </xdr:cNvPr>
        <xdr:cNvGrpSpPr/>
      </xdr:nvGrpSpPr>
      <xdr:grpSpPr>
        <a:xfrm>
          <a:off x="9820275" y="2466975"/>
          <a:ext cx="7229473" cy="6953254"/>
          <a:chOff x="9639300" y="2466975"/>
          <a:chExt cx="7229473" cy="7429504"/>
        </a:xfrm>
      </xdr:grpSpPr>
      <xdr:sp macro="" textlink="">
        <xdr:nvSpPr>
          <xdr:cNvPr id="17" name="화살표: 굽음 16">
            <a:extLst>
              <a:ext uri="{FF2B5EF4-FFF2-40B4-BE49-F238E27FC236}">
                <a16:creationId xmlns:a16="http://schemas.microsoft.com/office/drawing/2014/main" id="{00000000-0008-0000-0000-000011000000}"/>
              </a:ext>
            </a:extLst>
          </xdr:cNvPr>
          <xdr:cNvSpPr/>
        </xdr:nvSpPr>
        <xdr:spPr>
          <a:xfrm rot="5400000">
            <a:off x="11006134" y="2365543"/>
            <a:ext cx="428628" cy="1447803"/>
          </a:xfrm>
          <a:prstGeom prst="bentArrow">
            <a:avLst>
              <a:gd name="adj1" fmla="val 9475"/>
              <a:gd name="adj2" fmla="val 23897"/>
              <a:gd name="adj3" fmla="val 23334"/>
              <a:gd name="adj4" fmla="val 23954"/>
            </a:avLst>
          </a:prstGeom>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sp macro="" textlink="">
        <xdr:nvSpPr>
          <xdr:cNvPr id="18" name="화살표: 굽음 17">
            <a:extLst>
              <a:ext uri="{FF2B5EF4-FFF2-40B4-BE49-F238E27FC236}">
                <a16:creationId xmlns:a16="http://schemas.microsoft.com/office/drawing/2014/main" id="{00000000-0008-0000-0000-000012000000}"/>
              </a:ext>
            </a:extLst>
          </xdr:cNvPr>
          <xdr:cNvSpPr/>
        </xdr:nvSpPr>
        <xdr:spPr>
          <a:xfrm rot="5400000">
            <a:off x="12446370" y="5485161"/>
            <a:ext cx="2672606" cy="2038353"/>
          </a:xfrm>
          <a:prstGeom prst="bentArrow">
            <a:avLst>
              <a:gd name="adj1" fmla="val 3820"/>
              <a:gd name="adj2" fmla="val 7650"/>
              <a:gd name="adj3" fmla="val 12874"/>
              <a:gd name="adj4" fmla="val 15065"/>
            </a:avLst>
          </a:prstGeom>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sp macro="" textlink="">
        <xdr:nvSpPr>
          <xdr:cNvPr id="19" name="별: 꼭짓점 10개 18">
            <a:extLst>
              <a:ext uri="{FF2B5EF4-FFF2-40B4-BE49-F238E27FC236}">
                <a16:creationId xmlns:a16="http://schemas.microsoft.com/office/drawing/2014/main" id="{00000000-0008-0000-0000-000013000000}"/>
              </a:ext>
            </a:extLst>
          </xdr:cNvPr>
          <xdr:cNvSpPr/>
        </xdr:nvSpPr>
        <xdr:spPr>
          <a:xfrm>
            <a:off x="9639300" y="2466975"/>
            <a:ext cx="323850" cy="314325"/>
          </a:xfrm>
          <a:prstGeom prst="star10">
            <a:avLst/>
          </a:prstGeom>
          <a:solidFill>
            <a:srgbClr val="FFFF00"/>
          </a:solid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sp macro="" textlink="">
        <xdr:nvSpPr>
          <xdr:cNvPr id="20" name="화살표: 굽음 19">
            <a:extLst>
              <a:ext uri="{FF2B5EF4-FFF2-40B4-BE49-F238E27FC236}">
                <a16:creationId xmlns:a16="http://schemas.microsoft.com/office/drawing/2014/main" id="{00000000-0008-0000-0000-000014000000}"/>
              </a:ext>
            </a:extLst>
          </xdr:cNvPr>
          <xdr:cNvSpPr/>
        </xdr:nvSpPr>
        <xdr:spPr>
          <a:xfrm rot="5400000">
            <a:off x="15578137" y="8605843"/>
            <a:ext cx="1724024" cy="857248"/>
          </a:xfrm>
          <a:prstGeom prst="bentArrow">
            <a:avLst>
              <a:gd name="adj1" fmla="val 8257"/>
              <a:gd name="adj2" fmla="val 13623"/>
              <a:gd name="adj3" fmla="val 17124"/>
              <a:gd name="adj4" fmla="val 15065"/>
            </a:avLst>
          </a:prstGeom>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sp macro="" textlink="">
        <xdr:nvSpPr>
          <xdr:cNvPr id="22" name="화살표: 굽음 21">
            <a:extLst>
              <a:ext uri="{FF2B5EF4-FFF2-40B4-BE49-F238E27FC236}">
                <a16:creationId xmlns:a16="http://schemas.microsoft.com/office/drawing/2014/main" id="{00000000-0008-0000-0000-000016000000}"/>
              </a:ext>
            </a:extLst>
          </xdr:cNvPr>
          <xdr:cNvSpPr/>
        </xdr:nvSpPr>
        <xdr:spPr>
          <a:xfrm rot="5400000">
            <a:off x="11482385" y="3106535"/>
            <a:ext cx="161925" cy="190503"/>
          </a:xfrm>
          <a:prstGeom prst="bentArrow">
            <a:avLst>
              <a:gd name="adj1" fmla="val 17949"/>
              <a:gd name="adj2" fmla="val 25592"/>
              <a:gd name="adj3" fmla="val 27180"/>
              <a:gd name="adj4" fmla="val 23954"/>
            </a:avLst>
          </a:prstGeom>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sp macro="" textlink="">
        <xdr:nvSpPr>
          <xdr:cNvPr id="23" name="화살표: 굽음 22">
            <a:extLst>
              <a:ext uri="{FF2B5EF4-FFF2-40B4-BE49-F238E27FC236}">
                <a16:creationId xmlns:a16="http://schemas.microsoft.com/office/drawing/2014/main" id="{00000000-0008-0000-0000-000017000000}"/>
              </a:ext>
            </a:extLst>
          </xdr:cNvPr>
          <xdr:cNvSpPr/>
        </xdr:nvSpPr>
        <xdr:spPr>
          <a:xfrm rot="5400000">
            <a:off x="12512721" y="5151462"/>
            <a:ext cx="2949479" cy="2428878"/>
          </a:xfrm>
          <a:prstGeom prst="bentArrow">
            <a:avLst>
              <a:gd name="adj1" fmla="val 4060"/>
              <a:gd name="adj2" fmla="val 8702"/>
              <a:gd name="adj3" fmla="val 11957"/>
              <a:gd name="adj4" fmla="val 15065"/>
            </a:avLst>
          </a:prstGeom>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sp macro="" textlink="">
        <xdr:nvSpPr>
          <xdr:cNvPr id="4" name="화살표: 굽음 3">
            <a:extLst>
              <a:ext uri="{FF2B5EF4-FFF2-40B4-BE49-F238E27FC236}">
                <a16:creationId xmlns:a16="http://schemas.microsoft.com/office/drawing/2014/main" id="{00000000-0008-0000-0000-000004000000}"/>
              </a:ext>
            </a:extLst>
          </xdr:cNvPr>
          <xdr:cNvSpPr/>
        </xdr:nvSpPr>
        <xdr:spPr>
          <a:xfrm rot="5400000">
            <a:off x="13699169" y="7206643"/>
            <a:ext cx="709930" cy="619129"/>
          </a:xfrm>
          <a:prstGeom prst="bentArrow">
            <a:avLst>
              <a:gd name="adj1" fmla="val 11511"/>
              <a:gd name="adj2" fmla="val 11622"/>
              <a:gd name="adj3" fmla="val 12874"/>
              <a:gd name="adj4" fmla="val 15065"/>
            </a:avLst>
          </a:prstGeom>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sp macro="" textlink="">
        <xdr:nvSpPr>
          <xdr:cNvPr id="5" name="화살표: 굽음 4">
            <a:extLst>
              <a:ext uri="{FF2B5EF4-FFF2-40B4-BE49-F238E27FC236}">
                <a16:creationId xmlns:a16="http://schemas.microsoft.com/office/drawing/2014/main" id="{00000000-0008-0000-0000-000005000000}"/>
              </a:ext>
            </a:extLst>
          </xdr:cNvPr>
          <xdr:cNvSpPr/>
        </xdr:nvSpPr>
        <xdr:spPr>
          <a:xfrm rot="5400000">
            <a:off x="11232913" y="6613550"/>
            <a:ext cx="689443" cy="238128"/>
          </a:xfrm>
          <a:prstGeom prst="bentArrow">
            <a:avLst>
              <a:gd name="adj1" fmla="val 8948"/>
              <a:gd name="adj2" fmla="val 11622"/>
              <a:gd name="adj3" fmla="val 12874"/>
              <a:gd name="adj4" fmla="val 15065"/>
            </a:avLst>
          </a:prstGeom>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grpSp>
    <xdr:clientData/>
  </xdr:twoCellAnchor>
</xdr:wsDr>
</file>

<file path=xl/drawings/drawing2.xml><?xml version="1.0" encoding="utf-8"?>
<xdr:wsDr xmlns:xdr="http://schemas.openxmlformats.org/drawingml/2006/spreadsheetDrawing" xmlns:a="http://schemas.openxmlformats.org/drawingml/2006/main">
  <xdr:twoCellAnchor editAs="oneCell">
    <xdr:from>
      <xdr:col>1</xdr:col>
      <xdr:colOff>121921</xdr:colOff>
      <xdr:row>2</xdr:row>
      <xdr:rowOff>129540</xdr:rowOff>
    </xdr:from>
    <xdr:to>
      <xdr:col>1</xdr:col>
      <xdr:colOff>2141220</xdr:colOff>
      <xdr:row>12</xdr:row>
      <xdr:rowOff>198120</xdr:rowOff>
    </xdr:to>
    <xdr:pic>
      <xdr:nvPicPr>
        <xdr:cNvPr id="2" name="Picture 1">
          <a:extLst>
            <a:ext uri="{FF2B5EF4-FFF2-40B4-BE49-F238E27FC236}">
              <a16:creationId xmlns:a16="http://schemas.microsoft.com/office/drawing/2014/main" id="{00000000-0008-0000-02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93396" y="548640"/>
          <a:ext cx="2019299" cy="1754505"/>
        </a:xfrm>
        <a:prstGeom prst="rect">
          <a:avLst/>
        </a:prstGeom>
        <a:noFill/>
        <a:ln>
          <a:noFill/>
        </a:ln>
        <a:effectLst/>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editAs="oneCell">
    <xdr:from>
      <xdr:col>2</xdr:col>
      <xdr:colOff>2135505</xdr:colOff>
      <xdr:row>0</xdr:row>
      <xdr:rowOff>0</xdr:rowOff>
    </xdr:from>
    <xdr:to>
      <xdr:col>2</xdr:col>
      <xdr:colOff>3611880</xdr:colOff>
      <xdr:row>0</xdr:row>
      <xdr:rowOff>340995</xdr:rowOff>
    </xdr:to>
    <xdr:pic>
      <xdr:nvPicPr>
        <xdr:cNvPr id="4" name="Picture 3">
          <a:extLst>
            <a:ext uri="{FF2B5EF4-FFF2-40B4-BE49-F238E27FC236}">
              <a16:creationId xmlns:a16="http://schemas.microsoft.com/office/drawing/2014/main" id="{00000000-0008-0000-0200-000004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5021580" y="0"/>
          <a:ext cx="1476375" cy="340995"/>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1</xdr:col>
      <xdr:colOff>4495800</xdr:colOff>
      <xdr:row>0</xdr:row>
      <xdr:rowOff>1</xdr:rowOff>
    </xdr:from>
    <xdr:to>
      <xdr:col>1</xdr:col>
      <xdr:colOff>6000750</xdr:colOff>
      <xdr:row>0</xdr:row>
      <xdr:rowOff>338615</xdr:rowOff>
    </xdr:to>
    <xdr:pic>
      <xdr:nvPicPr>
        <xdr:cNvPr id="5" name="Picture 4">
          <a:extLst>
            <a:ext uri="{FF2B5EF4-FFF2-40B4-BE49-F238E27FC236}">
              <a16:creationId xmlns:a16="http://schemas.microsoft.com/office/drawing/2014/main" id="{00000000-0008-0000-0300-000005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867275" y="1"/>
          <a:ext cx="1504950" cy="338614"/>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1</xdr:col>
      <xdr:colOff>3771899</xdr:colOff>
      <xdr:row>0</xdr:row>
      <xdr:rowOff>1</xdr:rowOff>
    </xdr:from>
    <xdr:to>
      <xdr:col>1</xdr:col>
      <xdr:colOff>5381624</xdr:colOff>
      <xdr:row>0</xdr:row>
      <xdr:rowOff>362189</xdr:rowOff>
    </xdr:to>
    <xdr:pic>
      <xdr:nvPicPr>
        <xdr:cNvPr id="4" name="Picture 3">
          <a:extLst>
            <a:ext uri="{FF2B5EF4-FFF2-40B4-BE49-F238E27FC236}">
              <a16:creationId xmlns:a16="http://schemas.microsoft.com/office/drawing/2014/main" id="{00000000-0008-0000-04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143374" y="1"/>
          <a:ext cx="1609725" cy="362188"/>
        </a:xfrm>
        <a:prstGeom prst="rect">
          <a:avLst/>
        </a:prstGeom>
      </xdr:spPr>
    </xdr:pic>
    <xdr:clientData/>
  </xdr:twoCellAnchor>
</xdr:wsDr>
</file>

<file path=xl/theme/theme1.xml><?xml version="1.0" encoding="utf-8"?>
<a:theme xmlns:a="http://schemas.openxmlformats.org/drawingml/2006/main" name="Office Theme">
  <a:themeElements>
    <a:clrScheme name="v42-Gantt">
      <a:dk1>
        <a:sysClr val="windowText" lastClr="000000"/>
      </a:dk1>
      <a:lt1>
        <a:sysClr val="window" lastClr="FFFFFF"/>
      </a:lt1>
      <a:dk2>
        <a:srgbClr val="3B8741"/>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Arial">
      <a:majorFont>
        <a:latin typeface="Arial" panose="020B0604020202020204"/>
        <a:ea typeface=""/>
        <a:cs typeface=""/>
        <a:font script="Jpan" typeface="ＭＳ Ｐゴシック"/>
        <a:font script="Hang" typeface="굴림"/>
        <a:font script="Hans" typeface="黑体"/>
        <a:font script="Hant" typeface="微軟正黑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ajorFont>
      <a:minorFont>
        <a:latin typeface="Arial" panose="020B0604020202020204"/>
        <a:ea typeface=""/>
        <a:cs typeface=""/>
        <a:font script="Jpan" typeface="ＭＳ Ｐゴシック"/>
        <a:font script="Hang" typeface="굴림"/>
        <a:font script="Hans" typeface="黑体"/>
        <a:font script="Hant" typeface="微軟正黑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www.vertex42.com/ExcelTemplates/excel-gantt-chart.html" TargetMode="External"/><Relationship Id="rId6" Type="http://schemas.openxmlformats.org/officeDocument/2006/relationships/comments" Target="../comments1.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3.xml.rels><?xml version="1.0" encoding="UTF-8" standalone="yes"?>
<Relationships xmlns="http://schemas.openxmlformats.org/package/2006/relationships"><Relationship Id="rId3" Type="http://schemas.openxmlformats.org/officeDocument/2006/relationships/hyperlink" Target="https://www.vertex42.com/blog/business/pm/new-gantt-chart-for-excel-online.html" TargetMode="External"/><Relationship Id="rId2" Type="http://schemas.openxmlformats.org/officeDocument/2006/relationships/hyperlink" Target="https://www.vertex42.com/Links/go.php?urlid=GanttChartPro" TargetMode="External"/><Relationship Id="rId1" Type="http://schemas.openxmlformats.org/officeDocument/2006/relationships/hyperlink" Target="https://www.vertex42.com/Links/go.php?urlid=GanttChartPro" TargetMode="External"/><Relationship Id="rId5" Type="http://schemas.openxmlformats.org/officeDocument/2006/relationships/drawing" Target="../drawings/drawing2.xml"/><Relationship Id="rId4"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hyperlink" Target="https://excel.uservoice.com/forums/304921-excel-for-windows-desktop-application/suggestions/19676413-make-paste-and-merge-conditional-formatting-the" TargetMode="External"/><Relationship Id="rId7" Type="http://schemas.openxmlformats.org/officeDocument/2006/relationships/comments" Target="../comments2.xml"/><Relationship Id="rId2" Type="http://schemas.openxmlformats.org/officeDocument/2006/relationships/hyperlink" Target="https://www.vertex42.com/ExcelTemplates/excel-gantt-chart.html" TargetMode="External"/><Relationship Id="rId1" Type="http://schemas.openxmlformats.org/officeDocument/2006/relationships/hyperlink" Target="https://www.vertex42.com/Links/go.php?urlid=GanttChartPro" TargetMode="External"/><Relationship Id="rId6" Type="http://schemas.openxmlformats.org/officeDocument/2006/relationships/vmlDrawing" Target="../drawings/vmlDrawing2.vml"/><Relationship Id="rId5" Type="http://schemas.openxmlformats.org/officeDocument/2006/relationships/drawing" Target="../drawings/drawing3.xml"/><Relationship Id="rId4"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s://www.vertex42.com/licensing/EULA_privateuse.html" TargetMode="External"/><Relationship Id="rId1" Type="http://schemas.openxmlformats.org/officeDocument/2006/relationships/hyperlink" Target="https://www.vertex42.com/ExcelTemplates/excel-gantt-chart.html" TargetMode="External"/><Relationship Id="rId4"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8">
    <pageSetUpPr fitToPage="1"/>
  </sheetPr>
  <dimension ref="A1:BN53"/>
  <sheetViews>
    <sheetView showGridLines="0" tabSelected="1" zoomScaleNormal="100" workbookViewId="0">
      <pane ySplit="7" topLeftCell="A23" activePane="bottomLeft" state="frozen"/>
      <selection pane="bottomLeft" activeCell="L21" sqref="L21"/>
    </sheetView>
  </sheetViews>
  <sheetFormatPr defaultColWidth="9.140625" defaultRowHeight="12.75" x14ac:dyDescent="0.2"/>
  <cols>
    <col min="1" max="1" width="6.85546875" customWidth="1"/>
    <col min="2" max="2" width="51.42578125" bestFit="1" customWidth="1"/>
    <col min="3" max="3" width="22.5703125" bestFit="1" customWidth="1"/>
    <col min="4" max="4" width="6.85546875" hidden="1" customWidth="1"/>
    <col min="5" max="6" width="12.85546875" bestFit="1" customWidth="1"/>
    <col min="7" max="7" width="7" customWidth="1"/>
    <col min="8" max="8" width="6.7109375" customWidth="1"/>
    <col min="9" max="9" width="6.42578125" customWidth="1"/>
    <col min="10" max="10" width="1.85546875" customWidth="1"/>
    <col min="11" max="66" width="2.42578125" customWidth="1"/>
  </cols>
  <sheetData>
    <row r="1" spans="1:66" ht="30" customHeight="1" x14ac:dyDescent="0.2">
      <c r="A1" s="81" t="s">
        <v>143</v>
      </c>
      <c r="B1" s="29"/>
      <c r="C1" s="29"/>
      <c r="D1" s="29"/>
      <c r="E1" s="29"/>
      <c r="F1" s="29"/>
      <c r="I1" s="86"/>
      <c r="K1" s="120" t="s">
        <v>65</v>
      </c>
      <c r="L1" s="120"/>
      <c r="M1" s="120"/>
      <c r="N1" s="120"/>
      <c r="O1" s="120"/>
      <c r="P1" s="120"/>
      <c r="Q1" s="120"/>
      <c r="R1" s="120"/>
      <c r="S1" s="120"/>
      <c r="T1" s="120"/>
      <c r="U1" s="120"/>
      <c r="V1" s="120"/>
      <c r="W1" s="120"/>
      <c r="X1" s="120"/>
      <c r="Y1" s="120"/>
      <c r="Z1" s="120"/>
      <c r="AA1" s="120"/>
      <c r="AB1" s="120"/>
      <c r="AC1" s="120"/>
      <c r="AD1" s="120"/>
      <c r="AE1" s="120"/>
    </row>
    <row r="2" spans="1:66" ht="18" customHeight="1" x14ac:dyDescent="0.2">
      <c r="A2" s="31" t="s">
        <v>130</v>
      </c>
      <c r="B2" s="12"/>
      <c r="C2" s="12"/>
      <c r="D2" s="19"/>
      <c r="E2" s="110"/>
      <c r="F2" s="110"/>
      <c r="H2" s="1"/>
    </row>
    <row r="3" spans="1:66" ht="13.5" x14ac:dyDescent="0.2">
      <c r="A3" s="31"/>
      <c r="B3" s="2"/>
      <c r="H3" s="1"/>
      <c r="K3" s="18"/>
      <c r="L3" s="18"/>
      <c r="M3" s="18"/>
      <c r="N3" s="18"/>
      <c r="O3" s="18"/>
      <c r="P3" s="18"/>
      <c r="Q3" s="18"/>
      <c r="R3" s="18"/>
      <c r="S3" s="18"/>
      <c r="T3" s="18"/>
      <c r="U3" s="18"/>
      <c r="V3" s="18"/>
      <c r="W3" s="18"/>
      <c r="X3" s="18"/>
      <c r="Y3" s="18"/>
      <c r="Z3" s="18"/>
      <c r="AA3" s="18"/>
    </row>
    <row r="4" spans="1:66" ht="17.25" customHeight="1" x14ac:dyDescent="0.2">
      <c r="A4" s="71"/>
      <c r="B4" s="72" t="s">
        <v>127</v>
      </c>
      <c r="C4" s="122">
        <v>44820</v>
      </c>
      <c r="D4" s="122"/>
      <c r="E4" s="122"/>
      <c r="F4" s="71"/>
      <c r="G4" s="72" t="s">
        <v>187</v>
      </c>
      <c r="H4" s="85">
        <v>1</v>
      </c>
      <c r="I4" s="2"/>
      <c r="J4" s="30"/>
      <c r="K4" s="114" t="str">
        <f>"Week "&amp;(K6-($C$4-WEEKDAY($C$4,1)+2))/7+1</f>
        <v>Week 1</v>
      </c>
      <c r="L4" s="115"/>
      <c r="M4" s="115"/>
      <c r="N4" s="115"/>
      <c r="O4" s="115"/>
      <c r="P4" s="115"/>
      <c r="Q4" s="116"/>
      <c r="R4" s="114" t="str">
        <f>"Week "&amp;(R6-($C$4-WEEKDAY($C$4,1)+2))/7+1</f>
        <v>Week 2</v>
      </c>
      <c r="S4" s="115"/>
      <c r="T4" s="115"/>
      <c r="U4" s="115"/>
      <c r="V4" s="115"/>
      <c r="W4" s="115"/>
      <c r="X4" s="116"/>
      <c r="Y4" s="114" t="str">
        <f>"Week "&amp;(Y6-($C$4-WEEKDAY($C$4,1)+2))/7+1</f>
        <v>Week 3</v>
      </c>
      <c r="Z4" s="115"/>
      <c r="AA4" s="115"/>
      <c r="AB4" s="115"/>
      <c r="AC4" s="115"/>
      <c r="AD4" s="115"/>
      <c r="AE4" s="116"/>
      <c r="AF4" s="114" t="str">
        <f>"Week "&amp;(AF6-($C$4-WEEKDAY($C$4,1)+2))/7+1</f>
        <v>Week 4</v>
      </c>
      <c r="AG4" s="115"/>
      <c r="AH4" s="115"/>
      <c r="AI4" s="115"/>
      <c r="AJ4" s="115"/>
      <c r="AK4" s="115"/>
      <c r="AL4" s="116"/>
      <c r="AM4" s="114" t="str">
        <f>"Week "&amp;(AM6-($C$4-WEEKDAY($C$4,1)+2))/7+1</f>
        <v>Week 5</v>
      </c>
      <c r="AN4" s="115"/>
      <c r="AO4" s="115"/>
      <c r="AP4" s="115"/>
      <c r="AQ4" s="115"/>
      <c r="AR4" s="115"/>
      <c r="AS4" s="116"/>
      <c r="AT4" s="114" t="str">
        <f>"Week "&amp;(AT6-($C$4-WEEKDAY($C$4,1)+2))/7+1</f>
        <v>Week 6</v>
      </c>
      <c r="AU4" s="115"/>
      <c r="AV4" s="115"/>
      <c r="AW4" s="115"/>
      <c r="AX4" s="115"/>
      <c r="AY4" s="115"/>
      <c r="AZ4" s="116"/>
      <c r="BA4" s="114" t="str">
        <f>"Week "&amp;(BA6-($C$4-WEEKDAY($C$4,1)+2))/7+1</f>
        <v>Week 7</v>
      </c>
      <c r="BB4" s="115"/>
      <c r="BC4" s="115"/>
      <c r="BD4" s="115"/>
      <c r="BE4" s="115"/>
      <c r="BF4" s="115"/>
      <c r="BG4" s="116"/>
      <c r="BH4" s="114" t="str">
        <f>"Week "&amp;(BH6-($C$4-WEEKDAY($C$4,1)+2))/7+1</f>
        <v>Week 8</v>
      </c>
      <c r="BI4" s="115"/>
      <c r="BJ4" s="115"/>
      <c r="BK4" s="115"/>
      <c r="BL4" s="115"/>
      <c r="BM4" s="115"/>
      <c r="BN4" s="116"/>
    </row>
    <row r="5" spans="1:66" ht="17.25" customHeight="1" x14ac:dyDescent="0.2">
      <c r="A5" s="71"/>
      <c r="B5" s="72" t="s">
        <v>128</v>
      </c>
      <c r="C5" s="121" t="s">
        <v>129</v>
      </c>
      <c r="D5" s="121"/>
      <c r="E5" s="121"/>
      <c r="F5" s="71"/>
      <c r="G5" s="71"/>
      <c r="H5" s="71"/>
      <c r="I5" s="71"/>
      <c r="J5" s="30"/>
      <c r="K5" s="117">
        <f>K6</f>
        <v>44816</v>
      </c>
      <c r="L5" s="118"/>
      <c r="M5" s="118"/>
      <c r="N5" s="118"/>
      <c r="O5" s="118"/>
      <c r="P5" s="118"/>
      <c r="Q5" s="119"/>
      <c r="R5" s="117">
        <f>R6</f>
        <v>44823</v>
      </c>
      <c r="S5" s="118"/>
      <c r="T5" s="118"/>
      <c r="U5" s="118"/>
      <c r="V5" s="118"/>
      <c r="W5" s="118"/>
      <c r="X5" s="119"/>
      <c r="Y5" s="117">
        <f>Y6</f>
        <v>44830</v>
      </c>
      <c r="Z5" s="118"/>
      <c r="AA5" s="118"/>
      <c r="AB5" s="118"/>
      <c r="AC5" s="118"/>
      <c r="AD5" s="118"/>
      <c r="AE5" s="119"/>
      <c r="AF5" s="117">
        <f>AF6</f>
        <v>44837</v>
      </c>
      <c r="AG5" s="118"/>
      <c r="AH5" s="118"/>
      <c r="AI5" s="118"/>
      <c r="AJ5" s="118"/>
      <c r="AK5" s="118"/>
      <c r="AL5" s="119"/>
      <c r="AM5" s="117">
        <f>AM6</f>
        <v>44844</v>
      </c>
      <c r="AN5" s="118"/>
      <c r="AO5" s="118"/>
      <c r="AP5" s="118"/>
      <c r="AQ5" s="118"/>
      <c r="AR5" s="118"/>
      <c r="AS5" s="119"/>
      <c r="AT5" s="117">
        <f>AT6</f>
        <v>44851</v>
      </c>
      <c r="AU5" s="118"/>
      <c r="AV5" s="118"/>
      <c r="AW5" s="118"/>
      <c r="AX5" s="118"/>
      <c r="AY5" s="118"/>
      <c r="AZ5" s="119"/>
      <c r="BA5" s="117">
        <f>BA6</f>
        <v>44858</v>
      </c>
      <c r="BB5" s="118"/>
      <c r="BC5" s="118"/>
      <c r="BD5" s="118"/>
      <c r="BE5" s="118"/>
      <c r="BF5" s="118"/>
      <c r="BG5" s="119"/>
      <c r="BH5" s="117">
        <f>BH6</f>
        <v>44865</v>
      </c>
      <c r="BI5" s="118"/>
      <c r="BJ5" s="118"/>
      <c r="BK5" s="118"/>
      <c r="BL5" s="118"/>
      <c r="BM5" s="118"/>
      <c r="BN5" s="119"/>
    </row>
    <row r="6" spans="1:66" x14ac:dyDescent="0.2">
      <c r="A6" s="30"/>
      <c r="B6" s="30"/>
      <c r="C6" s="30"/>
      <c r="D6" s="30"/>
      <c r="E6" s="30"/>
      <c r="F6" s="30"/>
      <c r="G6" s="30"/>
      <c r="H6" s="30"/>
      <c r="I6" s="30"/>
      <c r="J6" s="30"/>
      <c r="K6" s="59">
        <f>C4-WEEKDAY(C4,1)+2+7*(H4-1)</f>
        <v>44816</v>
      </c>
      <c r="L6" s="50">
        <f t="shared" ref="L6:AQ6" si="0">K6+1</f>
        <v>44817</v>
      </c>
      <c r="M6" s="50">
        <f t="shared" si="0"/>
        <v>44818</v>
      </c>
      <c r="N6" s="50">
        <f t="shared" si="0"/>
        <v>44819</v>
      </c>
      <c r="O6" s="50">
        <f t="shared" si="0"/>
        <v>44820</v>
      </c>
      <c r="P6" s="50">
        <f t="shared" si="0"/>
        <v>44821</v>
      </c>
      <c r="Q6" s="60">
        <f t="shared" si="0"/>
        <v>44822</v>
      </c>
      <c r="R6" s="59">
        <f t="shared" si="0"/>
        <v>44823</v>
      </c>
      <c r="S6" s="50">
        <f t="shared" si="0"/>
        <v>44824</v>
      </c>
      <c r="T6" s="50">
        <f t="shared" si="0"/>
        <v>44825</v>
      </c>
      <c r="U6" s="50">
        <f t="shared" si="0"/>
        <v>44826</v>
      </c>
      <c r="V6" s="50">
        <f t="shared" si="0"/>
        <v>44827</v>
      </c>
      <c r="W6" s="50">
        <f t="shared" si="0"/>
        <v>44828</v>
      </c>
      <c r="X6" s="60">
        <f t="shared" si="0"/>
        <v>44829</v>
      </c>
      <c r="Y6" s="59">
        <f t="shared" si="0"/>
        <v>44830</v>
      </c>
      <c r="Z6" s="50">
        <f t="shared" si="0"/>
        <v>44831</v>
      </c>
      <c r="AA6" s="50">
        <f t="shared" si="0"/>
        <v>44832</v>
      </c>
      <c r="AB6" s="50">
        <f t="shared" si="0"/>
        <v>44833</v>
      </c>
      <c r="AC6" s="50">
        <f t="shared" si="0"/>
        <v>44834</v>
      </c>
      <c r="AD6" s="50">
        <f t="shared" si="0"/>
        <v>44835</v>
      </c>
      <c r="AE6" s="60">
        <f t="shared" si="0"/>
        <v>44836</v>
      </c>
      <c r="AF6" s="59">
        <f t="shared" si="0"/>
        <v>44837</v>
      </c>
      <c r="AG6" s="50">
        <f t="shared" si="0"/>
        <v>44838</v>
      </c>
      <c r="AH6" s="50">
        <f t="shared" si="0"/>
        <v>44839</v>
      </c>
      <c r="AI6" s="50">
        <f t="shared" si="0"/>
        <v>44840</v>
      </c>
      <c r="AJ6" s="50">
        <f t="shared" si="0"/>
        <v>44841</v>
      </c>
      <c r="AK6" s="50">
        <f t="shared" si="0"/>
        <v>44842</v>
      </c>
      <c r="AL6" s="60">
        <f t="shared" si="0"/>
        <v>44843</v>
      </c>
      <c r="AM6" s="59">
        <f t="shared" si="0"/>
        <v>44844</v>
      </c>
      <c r="AN6" s="50">
        <f t="shared" si="0"/>
        <v>44845</v>
      </c>
      <c r="AO6" s="50">
        <f t="shared" si="0"/>
        <v>44846</v>
      </c>
      <c r="AP6" s="50">
        <f t="shared" si="0"/>
        <v>44847</v>
      </c>
      <c r="AQ6" s="50">
        <f t="shared" si="0"/>
        <v>44848</v>
      </c>
      <c r="AR6" s="50">
        <f t="shared" ref="AR6:BN6" si="1">AQ6+1</f>
        <v>44849</v>
      </c>
      <c r="AS6" s="60">
        <f t="shared" si="1"/>
        <v>44850</v>
      </c>
      <c r="AT6" s="59">
        <f t="shared" si="1"/>
        <v>44851</v>
      </c>
      <c r="AU6" s="50">
        <f t="shared" si="1"/>
        <v>44852</v>
      </c>
      <c r="AV6" s="50">
        <f t="shared" si="1"/>
        <v>44853</v>
      </c>
      <c r="AW6" s="50">
        <f t="shared" si="1"/>
        <v>44854</v>
      </c>
      <c r="AX6" s="50">
        <f t="shared" si="1"/>
        <v>44855</v>
      </c>
      <c r="AY6" s="50">
        <f t="shared" si="1"/>
        <v>44856</v>
      </c>
      <c r="AZ6" s="60">
        <f t="shared" si="1"/>
        <v>44857</v>
      </c>
      <c r="BA6" s="59">
        <f t="shared" si="1"/>
        <v>44858</v>
      </c>
      <c r="BB6" s="50">
        <f t="shared" si="1"/>
        <v>44859</v>
      </c>
      <c r="BC6" s="50">
        <f t="shared" si="1"/>
        <v>44860</v>
      </c>
      <c r="BD6" s="50">
        <f t="shared" si="1"/>
        <v>44861</v>
      </c>
      <c r="BE6" s="50">
        <f t="shared" si="1"/>
        <v>44862</v>
      </c>
      <c r="BF6" s="50">
        <f t="shared" si="1"/>
        <v>44863</v>
      </c>
      <c r="BG6" s="60">
        <f t="shared" si="1"/>
        <v>44864</v>
      </c>
      <c r="BH6" s="59">
        <f t="shared" si="1"/>
        <v>44865</v>
      </c>
      <c r="BI6" s="50">
        <f t="shared" si="1"/>
        <v>44866</v>
      </c>
      <c r="BJ6" s="50">
        <f t="shared" si="1"/>
        <v>44867</v>
      </c>
      <c r="BK6" s="50">
        <f t="shared" si="1"/>
        <v>44868</v>
      </c>
      <c r="BL6" s="50">
        <f t="shared" si="1"/>
        <v>44869</v>
      </c>
      <c r="BM6" s="50">
        <f t="shared" si="1"/>
        <v>44870</v>
      </c>
      <c r="BN6" s="60">
        <f t="shared" si="1"/>
        <v>44871</v>
      </c>
    </row>
    <row r="7" spans="1:66" s="2" customFormat="1" ht="32.25" thickBot="1" x14ac:dyDescent="0.25">
      <c r="A7" s="74" t="s">
        <v>0</v>
      </c>
      <c r="B7" s="74" t="s">
        <v>124</v>
      </c>
      <c r="C7" s="75" t="s">
        <v>126</v>
      </c>
      <c r="D7" s="76" t="s">
        <v>64</v>
      </c>
      <c r="E7" s="77" t="s">
        <v>125</v>
      </c>
      <c r="F7" s="77" t="s">
        <v>60</v>
      </c>
      <c r="G7" s="75" t="s">
        <v>61</v>
      </c>
      <c r="H7" s="75" t="s">
        <v>62</v>
      </c>
      <c r="I7" s="75" t="s">
        <v>63</v>
      </c>
      <c r="J7" s="75"/>
      <c r="K7" s="78" t="str">
        <f t="shared" ref="K7:AP7" si="2">CHOOSE(WEEKDAY(K6,1),"S","M","T","W","T","F","S")</f>
        <v>M</v>
      </c>
      <c r="L7" s="79" t="str">
        <f t="shared" si="2"/>
        <v>T</v>
      </c>
      <c r="M7" s="79" t="str">
        <f t="shared" si="2"/>
        <v>W</v>
      </c>
      <c r="N7" s="79" t="str">
        <f t="shared" si="2"/>
        <v>T</v>
      </c>
      <c r="O7" s="79" t="str">
        <f t="shared" si="2"/>
        <v>F</v>
      </c>
      <c r="P7" s="79" t="str">
        <f t="shared" si="2"/>
        <v>S</v>
      </c>
      <c r="Q7" s="80" t="str">
        <f t="shared" si="2"/>
        <v>S</v>
      </c>
      <c r="R7" s="78" t="str">
        <f t="shared" si="2"/>
        <v>M</v>
      </c>
      <c r="S7" s="79" t="str">
        <f t="shared" si="2"/>
        <v>T</v>
      </c>
      <c r="T7" s="79" t="str">
        <f t="shared" si="2"/>
        <v>W</v>
      </c>
      <c r="U7" s="79" t="str">
        <f t="shared" si="2"/>
        <v>T</v>
      </c>
      <c r="V7" s="79" t="str">
        <f t="shared" si="2"/>
        <v>F</v>
      </c>
      <c r="W7" s="79" t="str">
        <f t="shared" si="2"/>
        <v>S</v>
      </c>
      <c r="X7" s="80" t="str">
        <f t="shared" si="2"/>
        <v>S</v>
      </c>
      <c r="Y7" s="78" t="str">
        <f t="shared" si="2"/>
        <v>M</v>
      </c>
      <c r="Z7" s="79" t="str">
        <f t="shared" si="2"/>
        <v>T</v>
      </c>
      <c r="AA7" s="79" t="str">
        <f t="shared" si="2"/>
        <v>W</v>
      </c>
      <c r="AB7" s="79" t="str">
        <f t="shared" si="2"/>
        <v>T</v>
      </c>
      <c r="AC7" s="79" t="str">
        <f t="shared" si="2"/>
        <v>F</v>
      </c>
      <c r="AD7" s="79" t="str">
        <f t="shared" si="2"/>
        <v>S</v>
      </c>
      <c r="AE7" s="80" t="str">
        <f t="shared" si="2"/>
        <v>S</v>
      </c>
      <c r="AF7" s="78" t="str">
        <f t="shared" si="2"/>
        <v>M</v>
      </c>
      <c r="AG7" s="79" t="str">
        <f t="shared" si="2"/>
        <v>T</v>
      </c>
      <c r="AH7" s="79" t="str">
        <f t="shared" si="2"/>
        <v>W</v>
      </c>
      <c r="AI7" s="79" t="str">
        <f t="shared" si="2"/>
        <v>T</v>
      </c>
      <c r="AJ7" s="79" t="str">
        <f t="shared" si="2"/>
        <v>F</v>
      </c>
      <c r="AK7" s="79" t="str">
        <f t="shared" si="2"/>
        <v>S</v>
      </c>
      <c r="AL7" s="80" t="str">
        <f t="shared" si="2"/>
        <v>S</v>
      </c>
      <c r="AM7" s="78" t="str">
        <f t="shared" si="2"/>
        <v>M</v>
      </c>
      <c r="AN7" s="79" t="str">
        <f t="shared" si="2"/>
        <v>T</v>
      </c>
      <c r="AO7" s="79" t="str">
        <f t="shared" si="2"/>
        <v>W</v>
      </c>
      <c r="AP7" s="79" t="str">
        <f t="shared" si="2"/>
        <v>T</v>
      </c>
      <c r="AQ7" s="79" t="str">
        <f t="shared" ref="AQ7:BN7" si="3">CHOOSE(WEEKDAY(AQ6,1),"S","M","T","W","T","F","S")</f>
        <v>F</v>
      </c>
      <c r="AR7" s="79" t="str">
        <f t="shared" si="3"/>
        <v>S</v>
      </c>
      <c r="AS7" s="80" t="str">
        <f t="shared" si="3"/>
        <v>S</v>
      </c>
      <c r="AT7" s="78" t="str">
        <f t="shared" si="3"/>
        <v>M</v>
      </c>
      <c r="AU7" s="79" t="str">
        <f t="shared" si="3"/>
        <v>T</v>
      </c>
      <c r="AV7" s="79" t="str">
        <f t="shared" si="3"/>
        <v>W</v>
      </c>
      <c r="AW7" s="79" t="str">
        <f t="shared" si="3"/>
        <v>T</v>
      </c>
      <c r="AX7" s="79" t="str">
        <f t="shared" si="3"/>
        <v>F</v>
      </c>
      <c r="AY7" s="79" t="str">
        <f t="shared" si="3"/>
        <v>S</v>
      </c>
      <c r="AZ7" s="80" t="str">
        <f t="shared" si="3"/>
        <v>S</v>
      </c>
      <c r="BA7" s="78" t="str">
        <f t="shared" si="3"/>
        <v>M</v>
      </c>
      <c r="BB7" s="79" t="str">
        <f t="shared" si="3"/>
        <v>T</v>
      </c>
      <c r="BC7" s="79" t="str">
        <f t="shared" si="3"/>
        <v>W</v>
      </c>
      <c r="BD7" s="79" t="str">
        <f t="shared" si="3"/>
        <v>T</v>
      </c>
      <c r="BE7" s="79" t="str">
        <f t="shared" si="3"/>
        <v>F</v>
      </c>
      <c r="BF7" s="79" t="str">
        <f t="shared" si="3"/>
        <v>S</v>
      </c>
      <c r="BG7" s="80" t="str">
        <f t="shared" si="3"/>
        <v>S</v>
      </c>
      <c r="BH7" s="78" t="str">
        <f t="shared" si="3"/>
        <v>M</v>
      </c>
      <c r="BI7" s="79" t="str">
        <f t="shared" si="3"/>
        <v>T</v>
      </c>
      <c r="BJ7" s="79" t="str">
        <f t="shared" si="3"/>
        <v>W</v>
      </c>
      <c r="BK7" s="79" t="str">
        <f t="shared" si="3"/>
        <v>T</v>
      </c>
      <c r="BL7" s="79" t="str">
        <f t="shared" si="3"/>
        <v>F</v>
      </c>
      <c r="BM7" s="79" t="str">
        <f t="shared" si="3"/>
        <v>S</v>
      </c>
      <c r="BN7" s="80" t="str">
        <f t="shared" si="3"/>
        <v>S</v>
      </c>
    </row>
    <row r="8" spans="1:66" s="34" customFormat="1" ht="18.75" x14ac:dyDescent="0.2">
      <c r="A8" s="51" t="str">
        <f>IF(ISERROR(VALUE(SUBSTITUTE(prevWBS,".",""))),"1",IF(ISERROR(FIND("`",SUBSTITUTE(prevWBS,".","`",1))),TEXT(VALUE(prevWBS)+1,"#"),TEXT(VALUE(LEFT(prevWBS,FIND("`",SUBSTITUTE(prevWBS,".","`",1))-1))+1,"#")))</f>
        <v>1</v>
      </c>
      <c r="B8" s="52" t="s">
        <v>131</v>
      </c>
      <c r="C8" s="53"/>
      <c r="D8" s="54"/>
      <c r="E8" s="55"/>
      <c r="F8" s="73" t="str">
        <f t="shared" ref="F8:F12" si="4">IF(ISBLANK(E8)," - ",IF(G8=0,E8,E8+G8-1))</f>
        <v xml:space="preserve"> - </v>
      </c>
      <c r="G8" s="56"/>
      <c r="H8" s="57"/>
      <c r="I8" s="58" t="str">
        <f>IF(OR(F8=0,E8=0)," - ",NETWORKDAYS(E8,F8))</f>
        <v xml:space="preserve"> - </v>
      </c>
      <c r="J8" s="61"/>
      <c r="K8" s="69"/>
      <c r="L8" s="69"/>
      <c r="M8" s="69"/>
      <c r="N8" s="69"/>
      <c r="O8" s="69"/>
      <c r="P8" s="69"/>
      <c r="Q8" s="69"/>
      <c r="R8" s="69"/>
      <c r="S8" s="69"/>
      <c r="T8" s="69"/>
      <c r="U8" s="69"/>
      <c r="V8" s="69"/>
      <c r="W8" s="69"/>
      <c r="X8" s="69"/>
      <c r="Y8" s="69"/>
      <c r="Z8" s="69"/>
      <c r="AA8" s="69"/>
      <c r="AB8" s="69"/>
      <c r="AC8" s="69"/>
      <c r="AD8" s="69"/>
      <c r="AE8" s="69"/>
      <c r="AF8" s="69"/>
      <c r="AG8" s="69"/>
      <c r="AH8" s="69"/>
      <c r="AI8" s="69"/>
      <c r="AJ8" s="69"/>
      <c r="AK8" s="69"/>
      <c r="AL8" s="69"/>
      <c r="AM8" s="69"/>
      <c r="AN8" s="69"/>
      <c r="AO8" s="69"/>
      <c r="AP8" s="69"/>
      <c r="AQ8" s="69"/>
      <c r="AR8" s="69"/>
      <c r="AS8" s="69"/>
      <c r="AT8" s="69"/>
      <c r="AU8" s="69"/>
      <c r="AV8" s="69"/>
      <c r="AW8" s="69"/>
      <c r="AX8" s="69"/>
      <c r="AY8" s="69"/>
      <c r="AZ8" s="69"/>
      <c r="BA8" s="69"/>
      <c r="BB8" s="69"/>
      <c r="BC8" s="69"/>
      <c r="BD8" s="69"/>
      <c r="BE8" s="69"/>
      <c r="BF8" s="69"/>
      <c r="BG8" s="69"/>
      <c r="BH8" s="69"/>
      <c r="BI8" s="69"/>
      <c r="BJ8" s="69"/>
      <c r="BK8" s="69"/>
      <c r="BL8" s="69"/>
      <c r="BM8" s="69"/>
      <c r="BN8" s="69"/>
    </row>
    <row r="9" spans="1:66" s="40" customFormat="1" ht="18.75" x14ac:dyDescent="0.2">
      <c r="A9" s="39" t="str">
        <f t="shared" ref="A9:A27" si="5">IF(ISERROR(VALUE(SUBSTITUTE(prevWBS,".",""))),"0.1",IF(ISERROR(FIND("`",SUBSTITUTE(prevWBS,".","`",1))),prevWBS&amp;".1",LEFT(prevWBS,FIND("`",SUBSTITUTE(prevWBS,".","`",1)))&amp;IF(ISERROR(FIND("`",SUBSTITUTE(prevWBS,".","`",2))),VALUE(RIGHT(prevWBS,LEN(prevWBS)-FIND("`",SUBSTITUTE(prevWBS,".","`",1))))+1,VALUE(MID(prevWBS,FIND("`",SUBSTITUTE(prevWBS,".","`",1))+1,(FIND("`",SUBSTITUTE(prevWBS,".","`",2))-FIND("`",SUBSTITUTE(prevWBS,".","`",1))-1)))+1)))</f>
        <v>1.1</v>
      </c>
      <c r="B9" s="82" t="s">
        <v>149</v>
      </c>
      <c r="C9" s="40" t="s">
        <v>142</v>
      </c>
      <c r="D9" s="83"/>
      <c r="E9" s="65">
        <v>44812</v>
      </c>
      <c r="F9" s="66">
        <f t="shared" si="4"/>
        <v>44824</v>
      </c>
      <c r="G9" s="41">
        <v>13</v>
      </c>
      <c r="H9" s="42">
        <v>1</v>
      </c>
      <c r="I9" s="43">
        <f>IF(OR(F9=0,E9=0)," - ",NETWORKDAYS(E9,F9))</f>
        <v>9</v>
      </c>
      <c r="J9" s="62"/>
      <c r="K9" s="39"/>
      <c r="L9" s="39"/>
      <c r="M9" s="39"/>
      <c r="N9" s="39"/>
      <c r="O9" s="39"/>
      <c r="P9" s="39"/>
      <c r="Q9" s="39"/>
      <c r="R9" s="39"/>
      <c r="S9" s="39"/>
      <c r="T9" s="39"/>
      <c r="U9" s="39"/>
      <c r="V9" s="39"/>
      <c r="W9" s="39"/>
      <c r="X9" s="39"/>
      <c r="Y9" s="39"/>
      <c r="Z9" s="39"/>
      <c r="AA9" s="39"/>
      <c r="AB9" s="39"/>
      <c r="AC9" s="39"/>
      <c r="AD9" s="39"/>
      <c r="AE9" s="39"/>
      <c r="AF9" s="39"/>
      <c r="AG9" s="39"/>
      <c r="AH9" s="39"/>
      <c r="AI9" s="39"/>
      <c r="AJ9" s="39"/>
      <c r="AK9" s="39"/>
      <c r="AL9" s="39"/>
      <c r="AM9" s="39"/>
      <c r="AN9" s="39"/>
      <c r="AO9" s="39"/>
      <c r="AP9" s="39"/>
      <c r="AQ9" s="39"/>
      <c r="AR9" s="39"/>
      <c r="AS9" s="39"/>
      <c r="AT9" s="39"/>
      <c r="AU9" s="39"/>
      <c r="AV9" s="39"/>
      <c r="AW9" s="39"/>
      <c r="AX9" s="39"/>
      <c r="AY9" s="39"/>
      <c r="AZ9" s="39"/>
      <c r="BA9" s="39"/>
      <c r="BB9" s="39"/>
      <c r="BC9" s="39"/>
      <c r="BD9" s="39"/>
      <c r="BE9" s="39"/>
      <c r="BF9" s="39"/>
      <c r="BG9" s="39"/>
      <c r="BH9" s="39"/>
      <c r="BI9" s="39"/>
      <c r="BJ9" s="39"/>
      <c r="BK9" s="39"/>
      <c r="BL9" s="39"/>
      <c r="BM9" s="39"/>
      <c r="BN9" s="39"/>
    </row>
    <row r="10" spans="1:66" s="40" customFormat="1" ht="18.75" x14ac:dyDescent="0.2">
      <c r="A10" s="39" t="str">
        <f t="shared" ref="A10:A11" si="6">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1.1.1</v>
      </c>
      <c r="B10" s="84" t="s">
        <v>148</v>
      </c>
      <c r="C10" s="40" t="s">
        <v>142</v>
      </c>
      <c r="D10" s="83"/>
      <c r="E10" s="65">
        <v>44820</v>
      </c>
      <c r="F10" s="66">
        <f t="shared" si="4"/>
        <v>44820</v>
      </c>
      <c r="G10" s="41">
        <v>1</v>
      </c>
      <c r="H10" s="42">
        <v>1</v>
      </c>
      <c r="I10" s="43">
        <f t="shared" ref="I10" si="7">IF(OR(F10=0,E10=0)," - ",NETWORKDAYS(E10,F10))</f>
        <v>1</v>
      </c>
      <c r="J10" s="62"/>
      <c r="K10" s="39"/>
      <c r="L10" s="39"/>
      <c r="M10" s="39"/>
      <c r="N10" s="39"/>
      <c r="O10" s="39"/>
      <c r="P10" s="39"/>
      <c r="Q10" s="39"/>
      <c r="R10" s="39"/>
      <c r="S10" s="39"/>
      <c r="T10" s="39"/>
      <c r="U10" s="39"/>
      <c r="V10" s="39"/>
      <c r="W10" s="39"/>
      <c r="X10" s="39"/>
      <c r="Y10" s="39"/>
      <c r="Z10" s="39"/>
      <c r="AA10" s="39"/>
      <c r="AB10" s="39"/>
      <c r="AC10" s="39"/>
      <c r="AD10" s="39"/>
      <c r="AE10" s="39"/>
      <c r="AF10" s="39"/>
      <c r="AG10" s="39"/>
      <c r="AH10" s="39"/>
      <c r="AI10" s="39"/>
      <c r="AJ10" s="39"/>
      <c r="AK10" s="39"/>
      <c r="AL10" s="39"/>
      <c r="AM10" s="39"/>
      <c r="AN10" s="39"/>
      <c r="AO10" s="39"/>
      <c r="AP10" s="39"/>
      <c r="AQ10" s="39"/>
      <c r="AR10" s="39"/>
      <c r="AS10" s="39"/>
      <c r="AT10" s="39"/>
      <c r="AU10" s="39"/>
      <c r="AV10" s="39"/>
      <c r="AW10" s="39"/>
      <c r="AX10" s="39"/>
      <c r="AY10" s="39"/>
      <c r="AZ10" s="39"/>
      <c r="BA10" s="39"/>
      <c r="BB10" s="39"/>
      <c r="BC10" s="39"/>
      <c r="BD10" s="39"/>
      <c r="BE10" s="39"/>
      <c r="BF10" s="39"/>
      <c r="BG10" s="39"/>
      <c r="BH10" s="39"/>
      <c r="BI10" s="39"/>
      <c r="BJ10" s="39"/>
      <c r="BK10" s="39"/>
      <c r="BL10" s="39"/>
      <c r="BM10" s="39"/>
      <c r="BN10" s="39"/>
    </row>
    <row r="11" spans="1:66" s="40" customFormat="1" ht="18.75" x14ac:dyDescent="0.2">
      <c r="A11" s="39" t="str">
        <f t="shared" si="6"/>
        <v>1.1.2</v>
      </c>
      <c r="B11" s="84" t="s">
        <v>159</v>
      </c>
      <c r="C11" s="40" t="s">
        <v>162</v>
      </c>
      <c r="D11" s="83"/>
      <c r="E11" s="65">
        <v>44824</v>
      </c>
      <c r="F11" s="66">
        <f t="shared" si="4"/>
        <v>44824</v>
      </c>
      <c r="G11" s="41">
        <v>1</v>
      </c>
      <c r="H11" s="42">
        <v>1</v>
      </c>
      <c r="I11" s="43">
        <f t="shared" ref="I11" si="8">IF(OR(F11=0,E11=0)," - ",NETWORKDAYS(E11,F11))</f>
        <v>1</v>
      </c>
      <c r="J11" s="62"/>
      <c r="K11" s="39"/>
      <c r="L11" s="39"/>
      <c r="M11" s="39"/>
      <c r="N11" s="39"/>
      <c r="O11" s="39"/>
      <c r="P11" s="39"/>
      <c r="Q11" s="39"/>
      <c r="R11" s="39"/>
      <c r="S11" s="39"/>
      <c r="T11" s="39"/>
      <c r="U11" s="39"/>
      <c r="V11" s="39"/>
      <c r="W11" s="39"/>
      <c r="X11" s="39"/>
      <c r="Y11" s="39"/>
      <c r="Z11" s="39"/>
      <c r="AA11" s="39"/>
      <c r="AB11" s="39"/>
      <c r="AC11" s="39"/>
      <c r="AD11" s="39"/>
      <c r="AE11" s="39"/>
      <c r="AF11" s="39"/>
      <c r="AG11" s="39"/>
      <c r="AH11" s="39"/>
      <c r="AI11" s="39"/>
      <c r="AJ11" s="39"/>
      <c r="AK11" s="39"/>
      <c r="AL11" s="39"/>
      <c r="AM11" s="39"/>
      <c r="AN11" s="39"/>
      <c r="AO11" s="39"/>
      <c r="AP11" s="39"/>
      <c r="AQ11" s="39"/>
      <c r="AR11" s="39"/>
      <c r="AS11" s="39"/>
      <c r="AT11" s="39"/>
      <c r="AU11" s="39"/>
      <c r="AV11" s="39"/>
      <c r="AW11" s="39"/>
      <c r="AX11" s="39"/>
      <c r="AY11" s="39"/>
      <c r="AZ11" s="39"/>
      <c r="BA11" s="39"/>
      <c r="BB11" s="39"/>
      <c r="BC11" s="39"/>
      <c r="BD11" s="39"/>
      <c r="BE11" s="39"/>
      <c r="BF11" s="39"/>
      <c r="BG11" s="39"/>
      <c r="BH11" s="39"/>
      <c r="BI11" s="39"/>
      <c r="BJ11" s="39"/>
      <c r="BK11" s="39"/>
      <c r="BL11" s="39"/>
      <c r="BM11" s="39"/>
      <c r="BN11" s="39"/>
    </row>
    <row r="12" spans="1:66" s="40" customFormat="1" ht="18.75" x14ac:dyDescent="0.2">
      <c r="A12" s="39" t="str">
        <f t="shared" si="5"/>
        <v>1.2</v>
      </c>
      <c r="B12" s="82" t="s">
        <v>132</v>
      </c>
      <c r="C12" s="40" t="s">
        <v>139</v>
      </c>
      <c r="D12" s="83"/>
      <c r="E12" s="65">
        <v>44821</v>
      </c>
      <c r="F12" s="66">
        <f t="shared" si="4"/>
        <v>44828</v>
      </c>
      <c r="G12" s="41">
        <v>8</v>
      </c>
      <c r="H12" s="42">
        <v>1</v>
      </c>
      <c r="I12" s="43">
        <f>IF(OR(F12=0,E12=0)," - ",NETWORKDAYS(E12,F12))</f>
        <v>5</v>
      </c>
      <c r="J12" s="62"/>
      <c r="K12" s="39"/>
      <c r="L12" s="39"/>
      <c r="M12" s="39"/>
      <c r="N12" s="39"/>
      <c r="O12" s="39"/>
      <c r="P12" s="39"/>
      <c r="Q12" s="39"/>
      <c r="R12" s="39"/>
      <c r="S12" s="39"/>
      <c r="T12" s="39"/>
      <c r="U12" s="39"/>
      <c r="V12" s="39"/>
      <c r="W12" s="39"/>
      <c r="X12" s="39"/>
      <c r="Y12" s="39"/>
      <c r="Z12" s="39"/>
      <c r="AA12" s="39"/>
      <c r="AB12" s="39"/>
      <c r="AC12" s="39"/>
      <c r="AD12" s="39"/>
      <c r="AE12" s="39"/>
      <c r="AF12" s="39"/>
      <c r="AG12" s="39"/>
      <c r="AH12" s="39"/>
      <c r="AI12" s="39"/>
      <c r="AJ12" s="39"/>
      <c r="AK12" s="39"/>
      <c r="AL12" s="39"/>
      <c r="AM12" s="39"/>
      <c r="AN12" s="39"/>
      <c r="AO12" s="39"/>
      <c r="AP12" s="39"/>
      <c r="AQ12" s="39"/>
      <c r="AR12" s="39"/>
      <c r="AS12" s="39"/>
      <c r="AT12" s="39"/>
      <c r="AU12" s="39"/>
      <c r="AV12" s="39"/>
      <c r="AW12" s="39"/>
      <c r="AX12" s="39"/>
      <c r="AY12" s="39"/>
      <c r="AZ12" s="39"/>
      <c r="BA12" s="39"/>
      <c r="BB12" s="39"/>
      <c r="BC12" s="39"/>
      <c r="BD12" s="39"/>
      <c r="BE12" s="39"/>
      <c r="BF12" s="39"/>
      <c r="BG12" s="39"/>
      <c r="BH12" s="39"/>
      <c r="BI12" s="39"/>
      <c r="BJ12" s="39"/>
      <c r="BK12" s="39"/>
      <c r="BL12" s="39"/>
      <c r="BM12" s="39"/>
      <c r="BN12" s="39"/>
    </row>
    <row r="13" spans="1:66" s="40" customFormat="1" ht="18.75" x14ac:dyDescent="0.2">
      <c r="A13" s="39" t="str">
        <f t="shared" si="5"/>
        <v>1.3</v>
      </c>
      <c r="B13" s="82" t="s">
        <v>158</v>
      </c>
      <c r="C13" s="40" t="s">
        <v>142</v>
      </c>
      <c r="D13" s="83"/>
      <c r="E13" s="65">
        <v>44821</v>
      </c>
      <c r="F13" s="66">
        <f>IF(ISBLANK(E13)," - ",IF(G13=0,E13,E13+G13-1))</f>
        <v>44834</v>
      </c>
      <c r="G13" s="41">
        <v>14</v>
      </c>
      <c r="H13" s="42">
        <v>0.4</v>
      </c>
      <c r="I13" s="43">
        <f>IF(OR(F13=0,E13=0)," - ",NETWORKDAYS(E13,F13))</f>
        <v>10</v>
      </c>
      <c r="J13" s="62"/>
      <c r="K13" s="39"/>
      <c r="L13" s="39"/>
      <c r="M13" s="39"/>
      <c r="N13" s="39"/>
      <c r="O13" s="39"/>
      <c r="P13" s="39"/>
      <c r="Q13" s="39"/>
      <c r="R13" s="39"/>
      <c r="S13" s="39"/>
      <c r="T13" s="39"/>
      <c r="U13" s="39"/>
      <c r="V13" s="39"/>
      <c r="W13" s="39"/>
      <c r="X13" s="39"/>
      <c r="Y13" s="39"/>
      <c r="Z13" s="39"/>
      <c r="AA13" s="39"/>
      <c r="AB13" s="39"/>
      <c r="AC13" s="39"/>
      <c r="AD13" s="39"/>
      <c r="AE13" s="39"/>
      <c r="AF13" s="39"/>
      <c r="AG13" s="39"/>
      <c r="AH13" s="39"/>
      <c r="AI13" s="39"/>
      <c r="AJ13" s="39"/>
      <c r="AK13" s="39"/>
      <c r="AL13" s="39"/>
      <c r="AM13" s="39"/>
      <c r="AN13" s="39"/>
      <c r="AO13" s="39"/>
      <c r="AP13" s="39"/>
      <c r="AQ13" s="39"/>
      <c r="AR13" s="39"/>
      <c r="AS13" s="39"/>
      <c r="AT13" s="39"/>
      <c r="AU13" s="39"/>
      <c r="AV13" s="39"/>
      <c r="AW13" s="39"/>
      <c r="AX13" s="39"/>
      <c r="AY13" s="39"/>
      <c r="AZ13" s="39"/>
      <c r="BA13" s="39"/>
      <c r="BB13" s="39"/>
      <c r="BC13" s="39"/>
      <c r="BD13" s="39"/>
      <c r="BE13" s="39"/>
      <c r="BF13" s="39"/>
      <c r="BG13" s="39"/>
      <c r="BH13" s="39"/>
      <c r="BI13" s="39"/>
      <c r="BJ13" s="39"/>
      <c r="BK13" s="39"/>
      <c r="BL13" s="39"/>
      <c r="BM13" s="39"/>
      <c r="BN13" s="39"/>
    </row>
    <row r="14" spans="1:66" s="40" customFormat="1" ht="18.75" x14ac:dyDescent="0.2">
      <c r="A14" s="39" t="str">
        <f t="shared" si="5"/>
        <v>1.4</v>
      </c>
      <c r="B14" s="82" t="s">
        <v>134</v>
      </c>
      <c r="C14" s="40" t="s">
        <v>142</v>
      </c>
      <c r="D14" s="83"/>
      <c r="E14" s="65">
        <v>44829</v>
      </c>
      <c r="F14" s="66">
        <f t="shared" ref="F14" si="9">IF(ISBLANK(E14)," - ",IF(G14=0,E14,E14+G14-1))</f>
        <v>44842</v>
      </c>
      <c r="G14" s="41">
        <v>14</v>
      </c>
      <c r="H14" s="42">
        <f>AVERAGE(H15:H17)</f>
        <v>1</v>
      </c>
      <c r="I14" s="43">
        <f t="shared" ref="I14" si="10">IF(OR(F14=0,E14=0)," - ",NETWORKDAYS(E14,F14))</f>
        <v>10</v>
      </c>
      <c r="J14" s="62"/>
      <c r="K14" s="39"/>
      <c r="L14" s="39"/>
      <c r="M14" s="39"/>
      <c r="N14" s="39"/>
      <c r="O14" s="39"/>
      <c r="P14" s="39"/>
      <c r="Q14" s="39"/>
      <c r="R14" s="39"/>
      <c r="S14" s="39"/>
      <c r="T14" s="39"/>
      <c r="U14" s="39"/>
      <c r="V14" s="39"/>
      <c r="W14" s="39"/>
      <c r="X14" s="112"/>
      <c r="Y14" s="39"/>
      <c r="Z14" s="39"/>
      <c r="AA14" s="39"/>
      <c r="AB14" s="39"/>
      <c r="AC14" s="39"/>
      <c r="AD14" s="39"/>
      <c r="AE14" s="39"/>
      <c r="AF14" s="39"/>
      <c r="AG14" s="39"/>
      <c r="AH14" s="39"/>
      <c r="AI14" s="39"/>
      <c r="AJ14" s="39"/>
      <c r="AK14" s="113"/>
      <c r="AL14" s="39"/>
      <c r="AM14" s="39"/>
      <c r="AN14" s="39"/>
      <c r="AO14" s="39"/>
      <c r="AP14" s="39"/>
      <c r="AQ14" s="39"/>
      <c r="AR14" s="39"/>
      <c r="AS14" s="39"/>
      <c r="AT14" s="39"/>
      <c r="AU14" s="39"/>
      <c r="AV14" s="39"/>
      <c r="AW14" s="39"/>
      <c r="AX14" s="39"/>
      <c r="AY14" s="39"/>
      <c r="AZ14" s="39"/>
      <c r="BA14" s="39"/>
      <c r="BB14" s="39"/>
      <c r="BC14" s="39"/>
      <c r="BD14" s="39"/>
      <c r="BE14" s="39"/>
      <c r="BF14" s="39"/>
      <c r="BG14" s="39"/>
      <c r="BH14" s="39"/>
      <c r="BI14" s="39"/>
      <c r="BJ14" s="39"/>
      <c r="BK14" s="39"/>
      <c r="BL14" s="39"/>
      <c r="BM14" s="39"/>
      <c r="BN14" s="39"/>
    </row>
    <row r="15" spans="1:66" s="40" customFormat="1" ht="18.75" x14ac:dyDescent="0.2">
      <c r="A15" s="39" t="str">
        <f t="shared" ref="A15:A19" si="11">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1.4.1</v>
      </c>
      <c r="B15" s="84" t="s">
        <v>182</v>
      </c>
      <c r="C15" s="40" t="s">
        <v>133</v>
      </c>
      <c r="D15" s="83"/>
      <c r="E15" s="65">
        <v>44829</v>
      </c>
      <c r="F15" s="66">
        <f t="shared" ref="F15:F52" si="12">IF(ISBLANK(E15)," - ",IF(G15=0,E15,E15+G15-1))</f>
        <v>44842</v>
      </c>
      <c r="G15" s="41">
        <v>14</v>
      </c>
      <c r="H15" s="42">
        <v>1</v>
      </c>
      <c r="I15" s="43">
        <f t="shared" ref="I15:I53" si="13">IF(OR(F15=0,E15=0)," - ",NETWORKDAYS(E15,F15))</f>
        <v>10</v>
      </c>
      <c r="J15" s="62"/>
      <c r="K15" s="39"/>
      <c r="L15" s="39"/>
      <c r="M15" s="39"/>
      <c r="N15" s="39"/>
      <c r="O15" s="39"/>
      <c r="P15" s="39"/>
      <c r="Q15" s="39"/>
      <c r="R15" s="39"/>
      <c r="S15" s="39"/>
      <c r="T15" s="39"/>
      <c r="U15" s="39"/>
      <c r="V15" s="39"/>
      <c r="W15" s="39"/>
      <c r="X15" s="112"/>
      <c r="Y15" s="39"/>
      <c r="Z15" s="39"/>
      <c r="AA15" s="39"/>
      <c r="AB15" s="39"/>
      <c r="AC15" s="39"/>
      <c r="AD15" s="39"/>
      <c r="AE15" s="39"/>
      <c r="AF15" s="39"/>
      <c r="AG15" s="39"/>
      <c r="AH15" s="39"/>
      <c r="AI15" s="39"/>
      <c r="AJ15" s="39"/>
      <c r="AK15" s="113"/>
      <c r="AL15" s="39"/>
      <c r="AM15" s="39"/>
      <c r="AN15" s="39"/>
      <c r="AO15" s="39"/>
      <c r="AP15" s="39"/>
      <c r="AQ15" s="39"/>
      <c r="AR15" s="39"/>
      <c r="AS15" s="39"/>
      <c r="AT15" s="39"/>
      <c r="AU15" s="39"/>
      <c r="AV15" s="39"/>
      <c r="AW15" s="39"/>
      <c r="AX15" s="39"/>
      <c r="AY15" s="39"/>
      <c r="AZ15" s="39"/>
      <c r="BA15" s="39"/>
      <c r="BB15" s="39"/>
      <c r="BC15" s="39"/>
      <c r="BD15" s="39"/>
      <c r="BE15" s="39"/>
      <c r="BF15" s="39"/>
      <c r="BG15" s="39"/>
      <c r="BH15" s="39"/>
      <c r="BI15" s="39"/>
      <c r="BJ15" s="39"/>
      <c r="BK15" s="39"/>
      <c r="BL15" s="39"/>
      <c r="BM15" s="39"/>
      <c r="BN15" s="39"/>
    </row>
    <row r="16" spans="1:66" s="40" customFormat="1" ht="18.75" x14ac:dyDescent="0.2">
      <c r="A16" s="39" t="str">
        <f t="shared" si="11"/>
        <v>1.4.2</v>
      </c>
      <c r="B16" s="84" t="s">
        <v>183</v>
      </c>
      <c r="C16" s="40" t="s">
        <v>137</v>
      </c>
      <c r="D16" s="83"/>
      <c r="E16" s="65">
        <v>44829</v>
      </c>
      <c r="F16" s="66">
        <f t="shared" si="12"/>
        <v>44842</v>
      </c>
      <c r="G16" s="41">
        <v>14</v>
      </c>
      <c r="H16" s="42">
        <v>1</v>
      </c>
      <c r="I16" s="43">
        <f t="shared" si="13"/>
        <v>10</v>
      </c>
      <c r="J16" s="62"/>
      <c r="K16" s="39"/>
      <c r="L16" s="39"/>
      <c r="M16" s="39"/>
      <c r="N16" s="39"/>
      <c r="O16" s="39"/>
      <c r="P16" s="39"/>
      <c r="Q16" s="39"/>
      <c r="R16" s="39"/>
      <c r="S16" s="39"/>
      <c r="T16" s="39"/>
      <c r="U16" s="39"/>
      <c r="V16" s="39"/>
      <c r="W16" s="39"/>
      <c r="X16" s="112"/>
      <c r="Y16" s="39"/>
      <c r="Z16" s="39"/>
      <c r="AA16" s="39"/>
      <c r="AB16" s="39"/>
      <c r="AC16" s="39"/>
      <c r="AD16" s="39"/>
      <c r="AE16" s="39"/>
      <c r="AF16" s="39"/>
      <c r="AG16" s="39"/>
      <c r="AH16" s="39"/>
      <c r="AI16" s="39"/>
      <c r="AJ16" s="39"/>
      <c r="AK16" s="113"/>
      <c r="AL16" s="39"/>
      <c r="AM16" s="39"/>
      <c r="AN16" s="39"/>
      <c r="AO16" s="39"/>
      <c r="AP16" s="39"/>
      <c r="AQ16" s="39"/>
      <c r="AR16" s="39"/>
      <c r="AS16" s="39"/>
      <c r="AT16" s="39"/>
      <c r="AU16" s="39"/>
      <c r="AV16" s="39"/>
      <c r="AW16" s="39"/>
      <c r="AX16" s="39"/>
      <c r="AY16" s="39"/>
      <c r="AZ16" s="39"/>
      <c r="BA16" s="39"/>
      <c r="BB16" s="39"/>
      <c r="BC16" s="39"/>
      <c r="BD16" s="39"/>
      <c r="BE16" s="39"/>
      <c r="BF16" s="39"/>
      <c r="BG16" s="39"/>
      <c r="BH16" s="39"/>
      <c r="BI16" s="39"/>
      <c r="BJ16" s="39"/>
      <c r="BK16" s="39"/>
      <c r="BL16" s="39"/>
      <c r="BM16" s="39"/>
      <c r="BN16" s="39"/>
    </row>
    <row r="17" spans="1:66" s="40" customFormat="1" ht="18.75" x14ac:dyDescent="0.2">
      <c r="A17" s="39" t="str">
        <f t="shared" si="11"/>
        <v>1.4.3</v>
      </c>
      <c r="B17" s="84" t="s">
        <v>184</v>
      </c>
      <c r="C17" s="40" t="s">
        <v>138</v>
      </c>
      <c r="D17" s="83"/>
      <c r="E17" s="65">
        <v>44829</v>
      </c>
      <c r="F17" s="66">
        <f t="shared" si="12"/>
        <v>44842</v>
      </c>
      <c r="G17" s="41">
        <v>14</v>
      </c>
      <c r="H17" s="42">
        <v>1</v>
      </c>
      <c r="I17" s="43">
        <f t="shared" si="13"/>
        <v>10</v>
      </c>
      <c r="J17" s="62"/>
      <c r="K17" s="39"/>
      <c r="L17" s="39"/>
      <c r="M17" s="39"/>
      <c r="N17" s="39"/>
      <c r="O17" s="39"/>
      <c r="P17" s="39"/>
      <c r="Q17" s="39"/>
      <c r="R17" s="39"/>
      <c r="S17" s="39"/>
      <c r="T17" s="39"/>
      <c r="U17" s="39"/>
      <c r="V17" s="39"/>
      <c r="W17" s="39"/>
      <c r="X17" s="112"/>
      <c r="Y17" s="39"/>
      <c r="Z17" s="39"/>
      <c r="AA17" s="39"/>
      <c r="AB17" s="39"/>
      <c r="AC17" s="39"/>
      <c r="AD17" s="39"/>
      <c r="AE17" s="39"/>
      <c r="AF17" s="39"/>
      <c r="AG17" s="39"/>
      <c r="AH17" s="39"/>
      <c r="AI17" s="39"/>
      <c r="AJ17" s="39"/>
      <c r="AK17" s="113"/>
      <c r="AL17" s="39"/>
      <c r="AM17" s="39"/>
      <c r="AN17" s="39"/>
      <c r="AO17" s="39"/>
      <c r="AP17" s="39"/>
      <c r="AQ17" s="39"/>
      <c r="AR17" s="39"/>
      <c r="AS17" s="39"/>
      <c r="AT17" s="39"/>
      <c r="AU17" s="39"/>
      <c r="AV17" s="39"/>
      <c r="AW17" s="39"/>
      <c r="AX17" s="39"/>
      <c r="AY17" s="39"/>
      <c r="AZ17" s="39"/>
      <c r="BA17" s="39"/>
      <c r="BB17" s="39"/>
      <c r="BC17" s="39"/>
      <c r="BD17" s="39"/>
      <c r="BE17" s="39"/>
      <c r="BF17" s="39"/>
      <c r="BG17" s="39"/>
      <c r="BH17" s="39"/>
      <c r="BI17" s="39"/>
      <c r="BJ17" s="39"/>
      <c r="BK17" s="39"/>
      <c r="BL17" s="39"/>
      <c r="BM17" s="39"/>
      <c r="BN17" s="39"/>
    </row>
    <row r="18" spans="1:66" s="40" customFormat="1" ht="18.75" x14ac:dyDescent="0.2">
      <c r="A18" s="39" t="str">
        <f t="shared" si="11"/>
        <v>1.4.4</v>
      </c>
      <c r="B18" s="84" t="s">
        <v>185</v>
      </c>
      <c r="C18" s="40" t="s">
        <v>133</v>
      </c>
      <c r="D18" s="83"/>
      <c r="E18" s="65">
        <v>44829</v>
      </c>
      <c r="F18" s="66">
        <f t="shared" ref="F18:F19" si="14">IF(ISBLANK(E18)," - ",IF(G18=0,E18,E18+G18-1))</f>
        <v>44842</v>
      </c>
      <c r="G18" s="41">
        <v>14</v>
      </c>
      <c r="H18" s="42">
        <v>1</v>
      </c>
      <c r="I18" s="43">
        <f t="shared" ref="I18:I19" si="15">IF(OR(F18=0,E18=0)," - ",NETWORKDAYS(E18,F18))</f>
        <v>10</v>
      </c>
      <c r="J18" s="62"/>
      <c r="K18" s="39"/>
      <c r="L18" s="39"/>
      <c r="M18" s="39"/>
      <c r="N18" s="39"/>
      <c r="O18" s="39"/>
      <c r="P18" s="39"/>
      <c r="Q18" s="39"/>
      <c r="R18" s="39"/>
      <c r="S18" s="39"/>
      <c r="T18" s="39"/>
      <c r="U18" s="39"/>
      <c r="V18" s="39"/>
      <c r="W18" s="39"/>
      <c r="X18" s="112"/>
      <c r="Y18" s="39"/>
      <c r="Z18" s="39"/>
      <c r="AA18" s="39"/>
      <c r="AB18" s="39"/>
      <c r="AC18" s="39"/>
      <c r="AD18" s="39"/>
      <c r="AE18" s="39"/>
      <c r="AF18" s="39"/>
      <c r="AG18" s="39"/>
      <c r="AH18" s="39"/>
      <c r="AI18" s="39"/>
      <c r="AJ18" s="39"/>
      <c r="AK18" s="113"/>
      <c r="AL18" s="39"/>
      <c r="AM18" s="39"/>
      <c r="AN18" s="39"/>
      <c r="AO18" s="39"/>
      <c r="AP18" s="39"/>
      <c r="AQ18" s="39"/>
      <c r="AR18" s="39"/>
      <c r="AS18" s="39"/>
      <c r="AT18" s="39"/>
      <c r="AU18" s="39"/>
      <c r="AV18" s="39"/>
      <c r="AW18" s="39"/>
      <c r="AX18" s="39"/>
      <c r="AY18" s="39"/>
      <c r="AZ18" s="39"/>
      <c r="BA18" s="39"/>
      <c r="BB18" s="39"/>
      <c r="BC18" s="39"/>
      <c r="BD18" s="39"/>
      <c r="BE18" s="39"/>
      <c r="BF18" s="39"/>
      <c r="BG18" s="39"/>
      <c r="BH18" s="39"/>
      <c r="BI18" s="39"/>
      <c r="BJ18" s="39"/>
      <c r="BK18" s="39"/>
      <c r="BL18" s="39"/>
      <c r="BM18" s="39"/>
      <c r="BN18" s="39"/>
    </row>
    <row r="19" spans="1:66" s="40" customFormat="1" ht="18.75" x14ac:dyDescent="0.2">
      <c r="A19" s="39" t="str">
        <f t="shared" si="11"/>
        <v>1.4.5</v>
      </c>
      <c r="B19" s="84" t="s">
        <v>186</v>
      </c>
      <c r="C19" s="40" t="s">
        <v>137</v>
      </c>
      <c r="D19" s="83"/>
      <c r="E19" s="65">
        <v>44829</v>
      </c>
      <c r="F19" s="66">
        <f t="shared" si="14"/>
        <v>44842</v>
      </c>
      <c r="G19" s="41">
        <v>14</v>
      </c>
      <c r="H19" s="42">
        <v>1</v>
      </c>
      <c r="I19" s="43">
        <f t="shared" si="15"/>
        <v>10</v>
      </c>
      <c r="J19" s="62"/>
      <c r="K19" s="39"/>
      <c r="L19" s="39"/>
      <c r="M19" s="39"/>
      <c r="N19" s="39"/>
      <c r="O19" s="39"/>
      <c r="P19" s="39"/>
      <c r="Q19" s="39"/>
      <c r="R19" s="39"/>
      <c r="S19" s="39"/>
      <c r="T19" s="39"/>
      <c r="U19" s="39"/>
      <c r="V19" s="39"/>
      <c r="W19" s="39"/>
      <c r="X19" s="112"/>
      <c r="Y19" s="39"/>
      <c r="Z19" s="39"/>
      <c r="AA19" s="39"/>
      <c r="AB19" s="39"/>
      <c r="AC19" s="39"/>
      <c r="AD19" s="39"/>
      <c r="AE19" s="39"/>
      <c r="AF19" s="39"/>
      <c r="AG19" s="39"/>
      <c r="AH19" s="39"/>
      <c r="AI19" s="39"/>
      <c r="AJ19" s="39"/>
      <c r="AK19" s="113"/>
      <c r="AL19" s="39"/>
      <c r="AM19" s="39"/>
      <c r="AN19" s="39"/>
      <c r="AO19" s="39"/>
      <c r="AP19" s="39"/>
      <c r="AQ19" s="39"/>
      <c r="AR19" s="39"/>
      <c r="AS19" s="39"/>
      <c r="AT19" s="39"/>
      <c r="AU19" s="39"/>
      <c r="AV19" s="39"/>
      <c r="AW19" s="39"/>
      <c r="AX19" s="39"/>
      <c r="AY19" s="39"/>
      <c r="AZ19" s="39"/>
      <c r="BA19" s="39"/>
      <c r="BB19" s="39"/>
      <c r="BC19" s="39"/>
      <c r="BD19" s="39"/>
      <c r="BE19" s="39"/>
      <c r="BF19" s="39"/>
      <c r="BG19" s="39"/>
      <c r="BH19" s="39"/>
      <c r="BI19" s="39"/>
      <c r="BJ19" s="39"/>
      <c r="BK19" s="39"/>
      <c r="BL19" s="39"/>
      <c r="BM19" s="39"/>
      <c r="BN19" s="39"/>
    </row>
    <row r="20" spans="1:66" s="40" customFormat="1" ht="18.75" x14ac:dyDescent="0.2">
      <c r="A20" s="39" t="str">
        <f t="shared" si="5"/>
        <v>1.5</v>
      </c>
      <c r="B20" s="82" t="s">
        <v>157</v>
      </c>
      <c r="C20" s="40" t="s">
        <v>142</v>
      </c>
      <c r="D20" s="83"/>
      <c r="E20" s="65">
        <v>44821</v>
      </c>
      <c r="F20" s="66">
        <f t="shared" ref="F20" si="16">IF(ISBLANK(E20)," - ",IF(G20=0,E20,E20+G20-1))</f>
        <v>44842</v>
      </c>
      <c r="G20" s="41">
        <v>22</v>
      </c>
      <c r="H20" s="42">
        <v>0.3</v>
      </c>
      <c r="I20" s="43">
        <f t="shared" si="13"/>
        <v>15</v>
      </c>
      <c r="J20" s="62"/>
      <c r="K20" s="39"/>
      <c r="L20" s="39"/>
      <c r="M20" s="39"/>
      <c r="N20" s="39"/>
      <c r="O20" s="39"/>
      <c r="P20" s="39"/>
      <c r="Q20" s="39"/>
      <c r="R20" s="39"/>
      <c r="S20" s="39"/>
      <c r="T20" s="39"/>
      <c r="U20" s="39"/>
      <c r="V20" s="39"/>
      <c r="W20" s="39"/>
      <c r="X20" s="39"/>
      <c r="Y20" s="39"/>
      <c r="Z20" s="39"/>
      <c r="AA20" s="39"/>
      <c r="AB20" s="39"/>
      <c r="AC20" s="39"/>
      <c r="AD20" s="39"/>
      <c r="AE20" s="39"/>
      <c r="AF20" s="39"/>
      <c r="AG20" s="39"/>
      <c r="AH20" s="39"/>
      <c r="AI20" s="39"/>
      <c r="AJ20" s="39"/>
      <c r="AK20" s="39"/>
      <c r="AL20" s="39"/>
      <c r="AM20" s="39"/>
      <c r="AN20" s="39"/>
      <c r="AO20" s="39"/>
      <c r="AP20" s="39"/>
      <c r="AQ20" s="39"/>
      <c r="AR20" s="39"/>
      <c r="AS20" s="39"/>
      <c r="AT20" s="39"/>
      <c r="AU20" s="39"/>
      <c r="AV20" s="39"/>
      <c r="AW20" s="39"/>
      <c r="AX20" s="39"/>
      <c r="AY20" s="39"/>
      <c r="AZ20" s="39"/>
      <c r="BA20" s="39"/>
      <c r="BB20" s="39"/>
      <c r="BC20" s="39"/>
      <c r="BD20" s="39"/>
      <c r="BE20" s="39"/>
      <c r="BF20" s="39"/>
      <c r="BG20" s="39"/>
      <c r="BH20" s="39"/>
      <c r="BI20" s="39"/>
      <c r="BJ20" s="39"/>
      <c r="BK20" s="39"/>
      <c r="BL20" s="39"/>
      <c r="BM20" s="39"/>
      <c r="BN20" s="39"/>
    </row>
    <row r="21" spans="1:66" s="40" customFormat="1" ht="18.75" x14ac:dyDescent="0.2">
      <c r="A21" s="39" t="str">
        <f t="shared" si="5"/>
        <v>1.6</v>
      </c>
      <c r="B21" s="82" t="s">
        <v>135</v>
      </c>
      <c r="C21" s="40" t="s">
        <v>142</v>
      </c>
      <c r="D21" s="83"/>
      <c r="E21" s="65">
        <v>44821</v>
      </c>
      <c r="F21" s="66">
        <f t="shared" si="12"/>
        <v>44842</v>
      </c>
      <c r="G21" s="41">
        <v>22</v>
      </c>
      <c r="H21" s="42">
        <f>AVERAGE(H22:H25)</f>
        <v>0.5</v>
      </c>
      <c r="I21" s="43">
        <f t="shared" ref="I21" si="17">IF(OR(F21=0,E21=0)," - ",NETWORKDAYS(E21,F21))</f>
        <v>15</v>
      </c>
      <c r="J21" s="62"/>
      <c r="K21" s="39"/>
      <c r="L21" s="39"/>
      <c r="M21" s="39"/>
      <c r="N21" s="39"/>
      <c r="O21" s="39"/>
      <c r="P21" s="39"/>
      <c r="Q21" s="39"/>
      <c r="R21" s="39"/>
      <c r="S21" s="39"/>
      <c r="T21" s="39"/>
      <c r="U21" s="39"/>
      <c r="V21" s="39"/>
      <c r="W21" s="39"/>
      <c r="X21" s="39"/>
      <c r="Y21" s="39"/>
      <c r="Z21" s="39"/>
      <c r="AA21" s="39"/>
      <c r="AB21" s="39"/>
      <c r="AC21" s="39"/>
      <c r="AD21" s="39"/>
      <c r="AE21" s="39"/>
      <c r="AF21" s="39"/>
      <c r="AG21" s="39"/>
      <c r="AH21" s="39"/>
      <c r="AI21" s="39"/>
      <c r="AJ21" s="39"/>
      <c r="AK21" s="39"/>
      <c r="AL21" s="39"/>
      <c r="AM21" s="39"/>
      <c r="AN21" s="39"/>
      <c r="AO21" s="39"/>
      <c r="AP21" s="39"/>
      <c r="AQ21" s="39"/>
      <c r="AR21" s="39"/>
      <c r="AS21" s="39"/>
      <c r="AT21" s="39"/>
      <c r="AU21" s="39"/>
      <c r="AV21" s="39"/>
      <c r="AW21" s="39"/>
      <c r="AX21" s="39"/>
      <c r="AY21" s="39"/>
      <c r="AZ21" s="39"/>
      <c r="BA21" s="39"/>
      <c r="BB21" s="39"/>
      <c r="BC21" s="39"/>
      <c r="BD21" s="39"/>
      <c r="BE21" s="39"/>
      <c r="BF21" s="39"/>
      <c r="BG21" s="39"/>
      <c r="BH21" s="39"/>
      <c r="BI21" s="39"/>
      <c r="BJ21" s="39"/>
      <c r="BK21" s="39"/>
      <c r="BL21" s="39"/>
      <c r="BM21" s="39"/>
      <c r="BN21" s="39"/>
    </row>
    <row r="22" spans="1:66" s="40" customFormat="1" ht="18.75" x14ac:dyDescent="0.2">
      <c r="A22" s="39"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1.6.1</v>
      </c>
      <c r="B22" s="84" t="s">
        <v>136</v>
      </c>
      <c r="C22" s="40" t="s">
        <v>133</v>
      </c>
      <c r="D22" s="83"/>
      <c r="E22" s="65">
        <v>44821</v>
      </c>
      <c r="F22" s="66">
        <f t="shared" si="12"/>
        <v>44842</v>
      </c>
      <c r="G22" s="41">
        <v>22</v>
      </c>
      <c r="H22" s="42">
        <v>0.5</v>
      </c>
      <c r="I22" s="43">
        <f t="shared" si="13"/>
        <v>15</v>
      </c>
      <c r="J22" s="62"/>
      <c r="K22" s="39"/>
      <c r="L22" s="39"/>
      <c r="M22" s="39"/>
      <c r="N22" s="39"/>
      <c r="O22" s="39"/>
      <c r="P22" s="39"/>
      <c r="Q22" s="39"/>
      <c r="R22" s="39"/>
      <c r="S22" s="39"/>
      <c r="T22" s="39"/>
      <c r="U22" s="39"/>
      <c r="V22" s="39"/>
      <c r="W22" s="39"/>
      <c r="X22" s="39"/>
      <c r="Y22" s="39"/>
      <c r="Z22" s="39"/>
      <c r="AA22" s="39"/>
      <c r="AB22" s="39"/>
      <c r="AC22" s="39"/>
      <c r="AD22" s="39"/>
      <c r="AE22" s="39"/>
      <c r="AF22" s="39"/>
      <c r="AG22" s="39"/>
      <c r="AH22" s="39"/>
      <c r="AI22" s="39"/>
      <c r="AJ22" s="39"/>
      <c r="AK22" s="39"/>
      <c r="AL22" s="39"/>
      <c r="AM22" s="39"/>
      <c r="AN22" s="39"/>
      <c r="AO22" s="39"/>
      <c r="AP22" s="39"/>
      <c r="AQ22" s="39"/>
      <c r="AR22" s="39"/>
      <c r="AS22" s="39"/>
      <c r="AT22" s="39"/>
      <c r="AU22" s="39"/>
      <c r="AV22" s="39"/>
      <c r="AW22" s="39"/>
      <c r="AX22" s="39"/>
      <c r="AY22" s="39"/>
      <c r="AZ22" s="39"/>
      <c r="BA22" s="39"/>
      <c r="BB22" s="39"/>
      <c r="BC22" s="39"/>
      <c r="BD22" s="39"/>
      <c r="BE22" s="39"/>
      <c r="BF22" s="39"/>
      <c r="BG22" s="39"/>
      <c r="BH22" s="39"/>
      <c r="BI22" s="39"/>
      <c r="BJ22" s="39"/>
      <c r="BK22" s="39"/>
      <c r="BL22" s="39"/>
      <c r="BM22" s="39"/>
      <c r="BN22" s="39"/>
    </row>
    <row r="23" spans="1:66" s="40" customFormat="1" ht="18.75" x14ac:dyDescent="0.2">
      <c r="A23" s="39"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1.6.2</v>
      </c>
      <c r="B23" s="84" t="s">
        <v>140</v>
      </c>
      <c r="C23" s="40" t="s">
        <v>137</v>
      </c>
      <c r="D23" s="83"/>
      <c r="E23" s="65">
        <v>44821</v>
      </c>
      <c r="F23" s="66">
        <f t="shared" si="12"/>
        <v>44842</v>
      </c>
      <c r="G23" s="41">
        <v>22</v>
      </c>
      <c r="H23" s="42">
        <v>0.45</v>
      </c>
      <c r="I23" s="43">
        <f t="shared" si="13"/>
        <v>15</v>
      </c>
      <c r="J23" s="62"/>
      <c r="K23" s="39"/>
      <c r="L23" s="39"/>
      <c r="M23" s="39"/>
      <c r="N23" s="39"/>
      <c r="O23" s="39"/>
      <c r="P23" s="39"/>
      <c r="Q23" s="39"/>
      <c r="R23" s="39"/>
      <c r="S23" s="39"/>
      <c r="T23" s="39"/>
      <c r="U23" s="39"/>
      <c r="V23" s="39"/>
      <c r="W23" s="39"/>
      <c r="X23" s="39"/>
      <c r="Y23" s="39"/>
      <c r="Z23" s="39"/>
      <c r="AA23" s="39"/>
      <c r="AB23" s="39"/>
      <c r="AC23" s="39"/>
      <c r="AD23" s="39"/>
      <c r="AE23" s="39"/>
      <c r="AF23" s="39"/>
      <c r="AG23" s="39"/>
      <c r="AH23" s="39"/>
      <c r="AI23" s="39"/>
      <c r="AJ23" s="39"/>
      <c r="AK23" s="39"/>
      <c r="AL23" s="39"/>
      <c r="AM23" s="39"/>
      <c r="AN23" s="39"/>
      <c r="AO23" s="39"/>
      <c r="AP23" s="39"/>
      <c r="AQ23" s="39"/>
      <c r="AR23" s="39"/>
      <c r="AS23" s="39"/>
      <c r="AT23" s="39"/>
      <c r="AU23" s="39"/>
      <c r="AV23" s="39"/>
      <c r="AW23" s="39"/>
      <c r="AX23" s="39"/>
      <c r="AY23" s="39"/>
      <c r="AZ23" s="39"/>
      <c r="BA23" s="39"/>
      <c r="BB23" s="39"/>
      <c r="BC23" s="39"/>
      <c r="BD23" s="39"/>
      <c r="BE23" s="39"/>
      <c r="BF23" s="39"/>
      <c r="BG23" s="39"/>
      <c r="BH23" s="39"/>
      <c r="BI23" s="39"/>
      <c r="BJ23" s="39"/>
      <c r="BK23" s="39"/>
      <c r="BL23" s="39"/>
      <c r="BM23" s="39"/>
      <c r="BN23" s="39"/>
    </row>
    <row r="24" spans="1:66" s="40" customFormat="1" ht="18.75" x14ac:dyDescent="0.2">
      <c r="A24" s="39"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1.6.3</v>
      </c>
      <c r="B24" s="84" t="s">
        <v>141</v>
      </c>
      <c r="C24" s="40" t="s">
        <v>139</v>
      </c>
      <c r="D24" s="83"/>
      <c r="E24" s="65">
        <v>44821</v>
      </c>
      <c r="F24" s="66">
        <f t="shared" si="12"/>
        <v>44842</v>
      </c>
      <c r="G24" s="41">
        <v>22</v>
      </c>
      <c r="H24" s="42">
        <v>0.45</v>
      </c>
      <c r="I24" s="43">
        <f t="shared" ref="I24" si="18">IF(OR(F24=0,E24=0)," - ",NETWORKDAYS(E24,F24))</f>
        <v>15</v>
      </c>
      <c r="J24" s="62"/>
      <c r="K24" s="39"/>
      <c r="L24" s="39"/>
      <c r="M24" s="39"/>
      <c r="N24" s="39"/>
      <c r="O24" s="39"/>
      <c r="P24" s="39"/>
      <c r="Q24" s="39"/>
      <c r="R24" s="39"/>
      <c r="S24" s="39"/>
      <c r="T24" s="39"/>
      <c r="U24" s="39"/>
      <c r="V24" s="39"/>
      <c r="W24" s="39"/>
      <c r="X24" s="39"/>
      <c r="Y24" s="39"/>
      <c r="Z24" s="39"/>
      <c r="AA24" s="39"/>
      <c r="AB24" s="39"/>
      <c r="AC24" s="39"/>
      <c r="AD24" s="39"/>
      <c r="AE24" s="39"/>
      <c r="AF24" s="39"/>
      <c r="AG24" s="39"/>
      <c r="AH24" s="39"/>
      <c r="AI24" s="39"/>
      <c r="AJ24" s="39"/>
      <c r="AK24" s="39"/>
      <c r="AL24" s="39"/>
      <c r="AM24" s="39"/>
      <c r="AN24" s="39"/>
      <c r="AO24" s="39"/>
      <c r="AP24" s="39"/>
      <c r="AQ24" s="39"/>
      <c r="AR24" s="39"/>
      <c r="AS24" s="39"/>
      <c r="AT24" s="39"/>
      <c r="AU24" s="39"/>
      <c r="AV24" s="39"/>
      <c r="AW24" s="39"/>
      <c r="AX24" s="39"/>
      <c r="AY24" s="39"/>
      <c r="AZ24" s="39"/>
      <c r="BA24" s="39"/>
      <c r="BB24" s="39"/>
      <c r="BC24" s="39"/>
      <c r="BD24" s="39"/>
      <c r="BE24" s="39"/>
      <c r="BF24" s="39"/>
      <c r="BG24" s="39"/>
      <c r="BH24" s="39"/>
      <c r="BI24" s="39"/>
      <c r="BJ24" s="39"/>
      <c r="BK24" s="39"/>
      <c r="BL24" s="39"/>
      <c r="BM24" s="39"/>
      <c r="BN24" s="39"/>
    </row>
    <row r="25" spans="1:66" s="40" customFormat="1" ht="18.75" x14ac:dyDescent="0.2">
      <c r="A25" s="39"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1.6.4</v>
      </c>
      <c r="B25" s="84" t="s">
        <v>164</v>
      </c>
      <c r="C25" s="40" t="s">
        <v>138</v>
      </c>
      <c r="D25" s="83"/>
      <c r="E25" s="65">
        <v>44821</v>
      </c>
      <c r="F25" s="66">
        <f t="shared" si="12"/>
        <v>44842</v>
      </c>
      <c r="G25" s="41">
        <v>22</v>
      </c>
      <c r="H25" s="42">
        <v>0.6</v>
      </c>
      <c r="I25" s="43">
        <f t="shared" si="13"/>
        <v>15</v>
      </c>
      <c r="J25" s="62"/>
      <c r="K25" s="39"/>
      <c r="L25" s="39"/>
      <c r="M25" s="39"/>
      <c r="N25" s="39"/>
      <c r="O25" s="39"/>
      <c r="P25" s="39"/>
      <c r="Q25" s="39"/>
      <c r="R25" s="39"/>
      <c r="S25" s="39"/>
      <c r="T25" s="39"/>
      <c r="U25" s="39"/>
      <c r="V25" s="39"/>
      <c r="W25" s="39"/>
      <c r="X25" s="39"/>
      <c r="Y25" s="39"/>
      <c r="Z25" s="39"/>
      <c r="AA25" s="39"/>
      <c r="AB25" s="39"/>
      <c r="AC25" s="39"/>
      <c r="AD25" s="39"/>
      <c r="AE25" s="39"/>
      <c r="AF25" s="39"/>
      <c r="AG25" s="39"/>
      <c r="AH25" s="39"/>
      <c r="AI25" s="39"/>
      <c r="AJ25" s="39"/>
      <c r="AK25" s="39"/>
      <c r="AL25" s="39"/>
      <c r="AM25" s="39"/>
      <c r="AN25" s="39"/>
      <c r="AO25" s="39"/>
      <c r="AP25" s="39"/>
      <c r="AQ25" s="39"/>
      <c r="AR25" s="39"/>
      <c r="AS25" s="39"/>
      <c r="AT25" s="39"/>
      <c r="AU25" s="39"/>
      <c r="AV25" s="39"/>
      <c r="AW25" s="39"/>
      <c r="AX25" s="39"/>
      <c r="AY25" s="39"/>
      <c r="AZ25" s="39"/>
      <c r="BA25" s="39"/>
      <c r="BB25" s="39"/>
      <c r="BC25" s="39"/>
      <c r="BD25" s="39"/>
      <c r="BE25" s="39"/>
      <c r="BF25" s="39"/>
      <c r="BG25" s="39"/>
      <c r="BH25" s="39"/>
      <c r="BI25" s="39"/>
      <c r="BJ25" s="39"/>
      <c r="BK25" s="39"/>
      <c r="BL25" s="39"/>
      <c r="BM25" s="39"/>
      <c r="BN25" s="39"/>
    </row>
    <row r="26" spans="1:66" s="40" customFormat="1" ht="18.75" x14ac:dyDescent="0.2">
      <c r="A26" s="39" t="str">
        <f t="shared" si="5"/>
        <v>1.7</v>
      </c>
      <c r="B26" s="82" t="s">
        <v>163</v>
      </c>
      <c r="C26" s="40" t="s">
        <v>138</v>
      </c>
      <c r="D26" s="83"/>
      <c r="E26" s="65">
        <v>44825</v>
      </c>
      <c r="F26" s="66">
        <f>IF(ISBLANK(E26)," - ",IF(G26=0,E26,E26+G26-1))</f>
        <v>44834</v>
      </c>
      <c r="G26" s="41">
        <v>10</v>
      </c>
      <c r="H26" s="42">
        <v>1</v>
      </c>
      <c r="I26" s="43">
        <f t="shared" ref="I26" si="19">IF(OR(F26=0,E26=0)," - ",NETWORKDAYS(E26,F26))</f>
        <v>8</v>
      </c>
      <c r="J26" s="62"/>
      <c r="K26" s="39"/>
      <c r="L26" s="39"/>
      <c r="M26" s="39"/>
      <c r="N26" s="39"/>
      <c r="O26" s="39"/>
      <c r="P26" s="39"/>
      <c r="Q26" s="39"/>
      <c r="R26" s="39"/>
      <c r="S26" s="39"/>
      <c r="T26" s="39"/>
      <c r="U26" s="39"/>
      <c r="V26" s="39"/>
      <c r="W26" s="39"/>
      <c r="X26" s="39"/>
      <c r="Y26" s="39"/>
      <c r="Z26" s="39"/>
      <c r="AA26" s="39"/>
      <c r="AB26" s="39"/>
      <c r="AC26" s="39"/>
      <c r="AD26" s="39"/>
      <c r="AE26" s="39"/>
      <c r="AF26" s="39"/>
      <c r="AG26" s="39"/>
      <c r="AH26" s="39"/>
      <c r="AI26" s="39"/>
      <c r="AJ26" s="39"/>
      <c r="AK26" s="39"/>
      <c r="AL26" s="39"/>
      <c r="AM26" s="39"/>
      <c r="AN26" s="39"/>
      <c r="AO26" s="39"/>
      <c r="AP26" s="39"/>
      <c r="AQ26" s="39"/>
      <c r="AR26" s="39"/>
      <c r="AS26" s="39"/>
      <c r="AT26" s="39"/>
      <c r="AU26" s="39"/>
      <c r="AV26" s="39"/>
      <c r="AW26" s="39"/>
      <c r="AX26" s="39"/>
      <c r="AY26" s="39"/>
      <c r="AZ26" s="39"/>
      <c r="BA26" s="39"/>
      <c r="BB26" s="39"/>
      <c r="BC26" s="39"/>
      <c r="BD26" s="39"/>
      <c r="BE26" s="39"/>
      <c r="BF26" s="39"/>
      <c r="BG26" s="39"/>
      <c r="BH26" s="39"/>
      <c r="BI26" s="39"/>
      <c r="BJ26" s="39"/>
      <c r="BK26" s="39"/>
      <c r="BL26" s="39"/>
      <c r="BM26" s="39"/>
      <c r="BN26" s="39"/>
    </row>
    <row r="27" spans="1:66" s="40" customFormat="1" ht="18.75" x14ac:dyDescent="0.2">
      <c r="A27" s="39" t="str">
        <f t="shared" si="5"/>
        <v>1.8</v>
      </c>
      <c r="B27" s="82" t="s">
        <v>181</v>
      </c>
      <c r="C27" s="40" t="s">
        <v>138</v>
      </c>
      <c r="D27" s="83"/>
      <c r="E27" s="65">
        <v>44825</v>
      </c>
      <c r="F27" s="66">
        <f>IF(ISBLANK(E27)," - ",IF(G27=0,E27,E27+G27-1))</f>
        <v>44834</v>
      </c>
      <c r="G27" s="41">
        <v>10</v>
      </c>
      <c r="H27" s="42">
        <v>1</v>
      </c>
      <c r="I27" s="43">
        <f t="shared" ref="I27" si="20">IF(OR(F27=0,E27=0)," - ",NETWORKDAYS(E27,F27))</f>
        <v>8</v>
      </c>
      <c r="J27" s="62"/>
      <c r="K27" s="39"/>
      <c r="L27" s="39"/>
      <c r="M27" s="39"/>
      <c r="N27" s="39"/>
      <c r="O27" s="39"/>
      <c r="P27" s="39"/>
      <c r="Q27" s="39"/>
      <c r="R27" s="39"/>
      <c r="S27" s="39"/>
      <c r="T27" s="39"/>
      <c r="U27" s="39"/>
      <c r="V27" s="39"/>
      <c r="W27" s="39"/>
      <c r="X27" s="39"/>
      <c r="Y27" s="39"/>
      <c r="Z27" s="39"/>
      <c r="AA27" s="39"/>
      <c r="AB27" s="39"/>
      <c r="AC27" s="39"/>
      <c r="AD27" s="39"/>
      <c r="AE27" s="39"/>
      <c r="AF27" s="39"/>
      <c r="AG27" s="39"/>
      <c r="AH27" s="39"/>
      <c r="AI27" s="39"/>
      <c r="AJ27" s="39"/>
      <c r="AK27" s="39"/>
      <c r="AL27" s="39"/>
      <c r="AM27" s="39"/>
      <c r="AN27" s="39"/>
      <c r="AO27" s="39"/>
      <c r="AP27" s="39"/>
      <c r="AQ27" s="39"/>
      <c r="AR27" s="39"/>
      <c r="AS27" s="39"/>
      <c r="AT27" s="39"/>
      <c r="AU27" s="39"/>
      <c r="AV27" s="39"/>
      <c r="AW27" s="39"/>
      <c r="AX27" s="39"/>
      <c r="AY27" s="39"/>
      <c r="AZ27" s="39"/>
      <c r="BA27" s="39"/>
      <c r="BB27" s="39"/>
      <c r="BC27" s="39"/>
      <c r="BD27" s="39"/>
      <c r="BE27" s="39"/>
      <c r="BF27" s="39"/>
      <c r="BG27" s="39"/>
      <c r="BH27" s="39"/>
      <c r="BI27" s="39"/>
      <c r="BJ27" s="39"/>
      <c r="BK27" s="39"/>
      <c r="BL27" s="39"/>
      <c r="BM27" s="39"/>
      <c r="BN27" s="39"/>
    </row>
    <row r="28" spans="1:66" s="34" customFormat="1" ht="18.75" x14ac:dyDescent="0.2">
      <c r="A28" s="32" t="str">
        <f>IF(ISERROR(VALUE(SUBSTITUTE(prevWBS,".",""))),"1",IF(ISERROR(FIND("`",SUBSTITUTE(prevWBS,".","`",1))),TEXT(VALUE(prevWBS)+1,"#"),TEXT(VALUE(LEFT(prevWBS,FIND("`",SUBSTITUTE(prevWBS,".","`",1))-1))+1,"#")))</f>
        <v>2</v>
      </c>
      <c r="B28" s="33" t="s">
        <v>144</v>
      </c>
      <c r="D28" s="35"/>
      <c r="E28" s="67"/>
      <c r="F28" s="67" t="str">
        <f t="shared" si="12"/>
        <v xml:space="preserve"> - </v>
      </c>
      <c r="G28" s="36"/>
      <c r="H28" s="37"/>
      <c r="I28" s="38" t="str">
        <f t="shared" si="13"/>
        <v xml:space="preserve"> - </v>
      </c>
      <c r="J28" s="63"/>
      <c r="K28" s="70"/>
      <c r="L28" s="70"/>
      <c r="M28" s="70"/>
      <c r="N28" s="70"/>
      <c r="O28" s="70"/>
      <c r="P28" s="70"/>
      <c r="Q28" s="70"/>
      <c r="R28" s="70"/>
      <c r="S28" s="70"/>
      <c r="T28" s="70"/>
      <c r="U28" s="70"/>
      <c r="V28" s="70"/>
      <c r="W28" s="70"/>
      <c r="X28" s="70"/>
      <c r="Y28" s="70"/>
      <c r="Z28" s="70"/>
      <c r="AA28" s="70"/>
      <c r="AB28" s="70"/>
      <c r="AC28" s="70"/>
      <c r="AD28" s="70"/>
      <c r="AE28" s="70"/>
      <c r="AF28" s="70"/>
      <c r="AG28" s="70"/>
      <c r="AH28" s="70"/>
      <c r="AI28" s="70"/>
      <c r="AJ28" s="70"/>
      <c r="AK28" s="70"/>
      <c r="AL28" s="70"/>
      <c r="AM28" s="70"/>
      <c r="AN28" s="70"/>
      <c r="AO28" s="70"/>
      <c r="AP28" s="70"/>
      <c r="AQ28" s="70"/>
      <c r="AR28" s="70"/>
      <c r="AS28" s="70"/>
      <c r="AT28" s="70"/>
      <c r="AU28" s="70"/>
      <c r="AV28" s="70"/>
      <c r="AW28" s="70"/>
      <c r="AX28" s="70"/>
      <c r="AY28" s="70"/>
      <c r="AZ28" s="70"/>
      <c r="BA28" s="70"/>
      <c r="BB28" s="70"/>
      <c r="BC28" s="70"/>
      <c r="BD28" s="70"/>
      <c r="BE28" s="70"/>
      <c r="BF28" s="70"/>
      <c r="BG28" s="70"/>
      <c r="BH28" s="70"/>
      <c r="BI28" s="70"/>
      <c r="BJ28" s="70"/>
      <c r="BK28" s="70"/>
      <c r="BL28" s="70"/>
      <c r="BM28" s="70"/>
      <c r="BN28" s="70"/>
    </row>
    <row r="29" spans="1:66" s="40" customFormat="1" ht="18.75" x14ac:dyDescent="0.2">
      <c r="A29" s="39" t="str">
        <f t="shared" ref="A29:A30" si="21">IF(ISERROR(VALUE(SUBSTITUTE(prevWBS,".",""))),"0.1",IF(ISERROR(FIND("`",SUBSTITUTE(prevWBS,".","`",1))),prevWBS&amp;".1",LEFT(prevWBS,FIND("`",SUBSTITUTE(prevWBS,".","`",1)))&amp;IF(ISERROR(FIND("`",SUBSTITUTE(prevWBS,".","`",2))),VALUE(RIGHT(prevWBS,LEN(prevWBS)-FIND("`",SUBSTITUTE(prevWBS,".","`",1))))+1,VALUE(MID(prevWBS,FIND("`",SUBSTITUTE(prevWBS,".","`",1))+1,(FIND("`",SUBSTITUTE(prevWBS,".","`",2))-FIND("`",SUBSTITUTE(prevWBS,".","`",1))-1)))+1)))</f>
        <v>2.1</v>
      </c>
      <c r="B29" s="82" t="s">
        <v>165</v>
      </c>
      <c r="C29" s="40" t="s">
        <v>142</v>
      </c>
      <c r="D29" s="83"/>
      <c r="E29" s="65">
        <v>44835</v>
      </c>
      <c r="F29" s="66">
        <f>IF(ISBLANK(E29)," - ",IF(G29=0,E29,E29+G29-1))</f>
        <v>44848</v>
      </c>
      <c r="G29" s="41">
        <v>14</v>
      </c>
      <c r="H29" s="42">
        <v>0</v>
      </c>
      <c r="I29" s="43">
        <f t="shared" si="13"/>
        <v>10</v>
      </c>
      <c r="J29" s="62"/>
      <c r="K29" s="39"/>
      <c r="L29" s="39"/>
      <c r="M29" s="39"/>
      <c r="N29" s="39"/>
      <c r="O29" s="39"/>
      <c r="P29" s="39"/>
      <c r="Q29" s="39"/>
      <c r="R29" s="39"/>
      <c r="S29" s="39"/>
      <c r="T29" s="39"/>
      <c r="U29" s="39"/>
      <c r="V29" s="39"/>
      <c r="W29" s="39"/>
      <c r="X29" s="39"/>
      <c r="Y29" s="39"/>
      <c r="Z29" s="39"/>
      <c r="AA29" s="39"/>
      <c r="AB29" s="39"/>
      <c r="AC29" s="39"/>
      <c r="AD29" s="39"/>
      <c r="AE29" s="39"/>
      <c r="AF29" s="39"/>
      <c r="AG29" s="39"/>
      <c r="AH29" s="39"/>
      <c r="AI29" s="39"/>
      <c r="AJ29" s="39"/>
      <c r="AK29" s="39"/>
      <c r="AL29" s="39"/>
      <c r="AM29" s="39"/>
      <c r="AN29" s="39"/>
      <c r="AO29" s="39"/>
      <c r="AP29" s="39"/>
      <c r="AQ29" s="39"/>
      <c r="AR29" s="39"/>
      <c r="AS29" s="39"/>
      <c r="AT29" s="39"/>
      <c r="AU29" s="39"/>
      <c r="AV29" s="39"/>
      <c r="AW29" s="39"/>
      <c r="AX29" s="39"/>
      <c r="AY29" s="39"/>
      <c r="AZ29" s="39"/>
      <c r="BA29" s="39"/>
      <c r="BB29" s="39"/>
      <c r="BC29" s="39"/>
      <c r="BD29" s="39"/>
      <c r="BE29" s="39"/>
      <c r="BF29" s="39"/>
      <c r="BG29" s="39"/>
      <c r="BH29" s="39"/>
      <c r="BI29" s="39"/>
      <c r="BJ29" s="39"/>
      <c r="BK29" s="39"/>
      <c r="BL29" s="39"/>
      <c r="BM29" s="39"/>
      <c r="BN29" s="39"/>
    </row>
    <row r="30" spans="1:66" s="40" customFormat="1" ht="18.75" x14ac:dyDescent="0.2">
      <c r="A30" s="39" t="str">
        <f t="shared" si="21"/>
        <v>2.2</v>
      </c>
      <c r="B30" s="82" t="s">
        <v>166</v>
      </c>
      <c r="C30" s="40" t="s">
        <v>142</v>
      </c>
      <c r="D30" s="83"/>
      <c r="E30" s="65">
        <v>44835</v>
      </c>
      <c r="F30" s="66">
        <f>IF(ISBLANK(E30)," - ",IF(G30=0,E30,E30+G30-1))</f>
        <v>44848</v>
      </c>
      <c r="G30" s="41">
        <v>14</v>
      </c>
      <c r="H30" s="42">
        <v>0</v>
      </c>
      <c r="I30" s="43">
        <f t="shared" ref="I30" si="22">IF(OR(F30=0,E30=0)," - ",NETWORKDAYS(E30,F30))</f>
        <v>10</v>
      </c>
      <c r="J30" s="62"/>
      <c r="K30" s="39"/>
      <c r="L30" s="39"/>
      <c r="M30" s="39"/>
      <c r="N30" s="39"/>
      <c r="O30" s="39"/>
      <c r="P30" s="39"/>
      <c r="Q30" s="39"/>
      <c r="R30" s="39"/>
      <c r="S30" s="39"/>
      <c r="T30" s="39"/>
      <c r="U30" s="39"/>
      <c r="V30" s="39"/>
      <c r="W30" s="39"/>
      <c r="X30" s="39"/>
      <c r="Y30" s="39"/>
      <c r="Z30" s="39"/>
      <c r="AA30" s="39"/>
      <c r="AB30" s="39"/>
      <c r="AC30" s="39"/>
      <c r="AD30" s="39"/>
      <c r="AE30" s="39"/>
      <c r="AF30" s="39"/>
      <c r="AG30" s="39"/>
      <c r="AH30" s="39"/>
      <c r="AI30" s="39"/>
      <c r="AJ30" s="39"/>
      <c r="AK30" s="39"/>
      <c r="AL30" s="39"/>
      <c r="AM30" s="39"/>
      <c r="AN30" s="39"/>
      <c r="AO30" s="39"/>
      <c r="AP30" s="39"/>
      <c r="AQ30" s="39"/>
      <c r="AR30" s="39"/>
      <c r="AS30" s="39"/>
      <c r="AT30" s="39"/>
      <c r="AU30" s="39"/>
      <c r="AV30" s="39"/>
      <c r="AW30" s="39"/>
      <c r="AX30" s="39"/>
      <c r="AY30" s="39"/>
      <c r="AZ30" s="39"/>
      <c r="BA30" s="39"/>
      <c r="BB30" s="39"/>
      <c r="BC30" s="39"/>
      <c r="BD30" s="39"/>
      <c r="BE30" s="39"/>
      <c r="BF30" s="39"/>
      <c r="BG30" s="39"/>
      <c r="BH30" s="39"/>
      <c r="BI30" s="39"/>
      <c r="BJ30" s="39"/>
      <c r="BK30" s="39"/>
      <c r="BL30" s="39"/>
      <c r="BM30" s="39"/>
      <c r="BN30" s="39"/>
    </row>
    <row r="31" spans="1:66" s="40" customFormat="1" ht="18.75" x14ac:dyDescent="0.2">
      <c r="A31" s="39"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2.3</v>
      </c>
      <c r="B31" s="82" t="s">
        <v>172</v>
      </c>
      <c r="C31" s="40" t="s">
        <v>142</v>
      </c>
      <c r="D31" s="83"/>
      <c r="E31" s="65">
        <v>44848</v>
      </c>
      <c r="F31" s="66">
        <f t="shared" ref="F31" si="23">IF(ISBLANK(E31)," - ",IF(G31=0,E31,E31+G31-1))</f>
        <v>44848</v>
      </c>
      <c r="G31" s="41">
        <v>1</v>
      </c>
      <c r="H31" s="42">
        <v>0</v>
      </c>
      <c r="I31" s="43">
        <f t="shared" ref="I31" si="24">IF(OR(F31=0,E31=0)," - ",NETWORKDAYS(E31,F31))</f>
        <v>1</v>
      </c>
      <c r="J31" s="62"/>
      <c r="K31" s="39"/>
      <c r="L31" s="39"/>
      <c r="M31" s="39"/>
      <c r="N31" s="39"/>
      <c r="O31" s="39"/>
      <c r="P31" s="39"/>
      <c r="Q31" s="39"/>
      <c r="R31" s="39"/>
      <c r="S31" s="39"/>
      <c r="T31" s="39"/>
      <c r="U31" s="39"/>
      <c r="V31" s="39"/>
      <c r="W31" s="39"/>
      <c r="X31" s="39"/>
      <c r="Y31" s="39"/>
      <c r="Z31" s="39"/>
      <c r="AA31" s="39"/>
      <c r="AB31" s="39"/>
      <c r="AC31" s="39"/>
      <c r="AD31" s="39"/>
      <c r="AE31" s="39"/>
      <c r="AF31" s="39"/>
      <c r="AG31" s="39"/>
      <c r="AH31" s="39"/>
      <c r="AI31" s="39"/>
      <c r="AJ31" s="39"/>
      <c r="AK31" s="39"/>
      <c r="AL31" s="39"/>
      <c r="AM31" s="39"/>
      <c r="AN31" s="39"/>
      <c r="AO31" s="39"/>
      <c r="AP31" s="39"/>
      <c r="AQ31" s="39"/>
      <c r="AR31" s="39"/>
      <c r="AS31" s="39"/>
      <c r="AT31" s="39"/>
      <c r="AU31" s="39"/>
      <c r="AV31" s="39"/>
      <c r="AW31" s="39"/>
      <c r="AX31" s="39"/>
      <c r="AY31" s="39"/>
      <c r="AZ31" s="39"/>
      <c r="BA31" s="39"/>
      <c r="BB31" s="39"/>
      <c r="BC31" s="39"/>
      <c r="BD31" s="39"/>
      <c r="BE31" s="39"/>
      <c r="BF31" s="39"/>
      <c r="BG31" s="39"/>
      <c r="BH31" s="39"/>
      <c r="BI31" s="39"/>
      <c r="BJ31" s="39"/>
      <c r="BK31" s="39"/>
      <c r="BL31" s="39"/>
      <c r="BM31" s="39"/>
      <c r="BN31" s="39"/>
    </row>
    <row r="32" spans="1:66" s="40" customFormat="1" ht="18.75" x14ac:dyDescent="0.2">
      <c r="A32" s="39"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2.4</v>
      </c>
      <c r="B32" s="82" t="s">
        <v>168</v>
      </c>
      <c r="C32" s="40" t="s">
        <v>142</v>
      </c>
      <c r="D32" s="83"/>
      <c r="E32" s="65">
        <v>44849</v>
      </c>
      <c r="F32" s="66">
        <f t="shared" ref="F32" si="25">IF(ISBLANK(E32)," - ",IF(G32=0,E32,E32+G32-1))</f>
        <v>44862</v>
      </c>
      <c r="G32" s="41">
        <v>14</v>
      </c>
      <c r="H32" s="42">
        <v>0</v>
      </c>
      <c r="I32" s="43">
        <f t="shared" ref="I32" si="26">IF(OR(F32=0,E32=0)," - ",NETWORKDAYS(E32,F32))</f>
        <v>10</v>
      </c>
      <c r="J32" s="62"/>
      <c r="K32" s="39"/>
      <c r="L32" s="39"/>
      <c r="M32" s="39"/>
      <c r="N32" s="39"/>
      <c r="O32" s="39"/>
      <c r="P32" s="39"/>
      <c r="Q32" s="39"/>
      <c r="R32" s="39"/>
      <c r="S32" s="39"/>
      <c r="T32" s="39"/>
      <c r="U32" s="39"/>
      <c r="V32" s="39"/>
      <c r="W32" s="39"/>
      <c r="X32" s="39"/>
      <c r="Y32" s="39"/>
      <c r="Z32" s="39"/>
      <c r="AA32" s="39"/>
      <c r="AB32" s="39"/>
      <c r="AC32" s="39"/>
      <c r="AD32" s="39"/>
      <c r="AE32" s="39"/>
      <c r="AF32" s="39"/>
      <c r="AG32" s="39"/>
      <c r="AH32" s="39"/>
      <c r="AI32" s="39"/>
      <c r="AJ32" s="39"/>
      <c r="AK32" s="39"/>
      <c r="AL32" s="39"/>
      <c r="AM32" s="39"/>
      <c r="AN32" s="39"/>
      <c r="AO32" s="39"/>
      <c r="AP32" s="39"/>
      <c r="AQ32" s="39"/>
      <c r="AR32" s="39"/>
      <c r="AS32" s="39"/>
      <c r="AT32" s="39"/>
      <c r="AU32" s="39"/>
      <c r="AV32" s="39"/>
      <c r="AW32" s="39"/>
      <c r="AX32" s="39"/>
      <c r="AY32" s="39"/>
      <c r="AZ32" s="39"/>
      <c r="BA32" s="39"/>
      <c r="BB32" s="39"/>
      <c r="BC32" s="39"/>
      <c r="BD32" s="39"/>
      <c r="BE32" s="39"/>
      <c r="BF32" s="39"/>
      <c r="BG32" s="39"/>
      <c r="BH32" s="39"/>
      <c r="BI32" s="39"/>
      <c r="BJ32" s="39"/>
      <c r="BK32" s="39"/>
      <c r="BL32" s="39"/>
      <c r="BM32" s="39"/>
      <c r="BN32" s="39"/>
    </row>
    <row r="33" spans="1:66" s="40" customFormat="1" ht="18.75" x14ac:dyDescent="0.2">
      <c r="A33" s="39"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2.5</v>
      </c>
      <c r="B33" s="82" t="s">
        <v>169</v>
      </c>
      <c r="C33" s="40" t="s">
        <v>142</v>
      </c>
      <c r="D33" s="83"/>
      <c r="E33" s="65">
        <v>44849</v>
      </c>
      <c r="F33" s="66">
        <f t="shared" ref="F33" si="27">IF(ISBLANK(E33)," - ",IF(G33=0,E33,E33+G33-1))</f>
        <v>44862</v>
      </c>
      <c r="G33" s="41">
        <v>14</v>
      </c>
      <c r="H33" s="42">
        <v>0</v>
      </c>
      <c r="I33" s="43">
        <f t="shared" ref="I33" si="28">IF(OR(F33=0,E33=0)," - ",NETWORKDAYS(E33,F33))</f>
        <v>10</v>
      </c>
      <c r="J33" s="62"/>
      <c r="K33" s="39"/>
      <c r="L33" s="39"/>
      <c r="M33" s="39"/>
      <c r="N33" s="39"/>
      <c r="O33" s="39"/>
      <c r="P33" s="39"/>
      <c r="Q33" s="39"/>
      <c r="R33" s="39"/>
      <c r="S33" s="39"/>
      <c r="T33" s="39"/>
      <c r="U33" s="39"/>
      <c r="V33" s="39"/>
      <c r="W33" s="39"/>
      <c r="X33" s="39"/>
      <c r="Y33" s="39"/>
      <c r="Z33" s="39"/>
      <c r="AA33" s="39"/>
      <c r="AB33" s="39"/>
      <c r="AC33" s="39"/>
      <c r="AD33" s="39"/>
      <c r="AE33" s="39"/>
      <c r="AF33" s="39"/>
      <c r="AG33" s="39"/>
      <c r="AH33" s="39"/>
      <c r="AI33" s="39"/>
      <c r="AJ33" s="39"/>
      <c r="AK33" s="39"/>
      <c r="AL33" s="39"/>
      <c r="AM33" s="39"/>
      <c r="AN33" s="39"/>
      <c r="AO33" s="39"/>
      <c r="AP33" s="39"/>
      <c r="AQ33" s="39"/>
      <c r="AR33" s="39"/>
      <c r="AS33" s="39"/>
      <c r="AT33" s="39"/>
      <c r="AU33" s="39"/>
      <c r="AV33" s="39"/>
      <c r="AW33" s="39"/>
      <c r="AX33" s="39"/>
      <c r="AY33" s="39"/>
      <c r="AZ33" s="39"/>
      <c r="BA33" s="39"/>
      <c r="BB33" s="39"/>
      <c r="BC33" s="39"/>
      <c r="BD33" s="39"/>
      <c r="BE33" s="39"/>
      <c r="BF33" s="39"/>
      <c r="BG33" s="39"/>
      <c r="BH33" s="39"/>
      <c r="BI33" s="39"/>
      <c r="BJ33" s="39"/>
      <c r="BK33" s="39"/>
      <c r="BL33" s="39"/>
      <c r="BM33" s="39"/>
      <c r="BN33" s="39"/>
    </row>
    <row r="34" spans="1:66" s="40" customFormat="1" ht="18.75" x14ac:dyDescent="0.2">
      <c r="A34" s="39"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2.5.1</v>
      </c>
      <c r="B34" s="84" t="s">
        <v>179</v>
      </c>
      <c r="C34" s="40" t="s">
        <v>142</v>
      </c>
      <c r="D34" s="83"/>
      <c r="E34" s="65">
        <v>44849</v>
      </c>
      <c r="F34" s="66">
        <f>IF(ISBLANK(E34)," - ",IF(G34=0,E34,E34+G34-1))</f>
        <v>44862</v>
      </c>
      <c r="G34" s="41">
        <v>14</v>
      </c>
      <c r="H34" s="42">
        <v>0</v>
      </c>
      <c r="I34" s="43">
        <f>IF(OR(F34=0,E34=0)," - ",NETWORKDAYS(E34,F34))</f>
        <v>10</v>
      </c>
      <c r="J34" s="62"/>
      <c r="K34" s="39"/>
      <c r="L34" s="39"/>
      <c r="M34" s="39"/>
      <c r="N34" s="39"/>
      <c r="O34" s="39"/>
      <c r="P34" s="39"/>
      <c r="Q34" s="39"/>
      <c r="R34" s="39"/>
      <c r="S34" s="39"/>
      <c r="T34" s="39"/>
      <c r="U34" s="39"/>
      <c r="V34" s="39"/>
      <c r="W34" s="39"/>
      <c r="X34" s="39"/>
      <c r="Y34" s="39"/>
      <c r="Z34" s="39"/>
      <c r="AA34" s="39"/>
      <c r="AB34" s="39"/>
      <c r="AC34" s="39"/>
      <c r="AD34" s="39"/>
      <c r="AE34" s="39"/>
      <c r="AF34" s="39"/>
      <c r="AG34" s="39"/>
      <c r="AH34" s="39"/>
      <c r="AI34" s="39"/>
      <c r="AJ34" s="39"/>
      <c r="AK34" s="39"/>
      <c r="AL34" s="39"/>
      <c r="AM34" s="39"/>
      <c r="AN34" s="39"/>
      <c r="AO34" s="39"/>
      <c r="AP34" s="39"/>
      <c r="AQ34" s="39"/>
      <c r="AR34" s="39"/>
      <c r="AS34" s="39"/>
      <c r="AT34" s="39"/>
      <c r="AU34" s="39"/>
      <c r="AV34" s="39"/>
      <c r="AW34" s="39"/>
      <c r="AX34" s="39"/>
      <c r="AY34" s="39"/>
      <c r="AZ34" s="39"/>
      <c r="BA34" s="39"/>
      <c r="BB34" s="39"/>
      <c r="BC34" s="39"/>
      <c r="BD34" s="39"/>
      <c r="BE34" s="39"/>
      <c r="BF34" s="39"/>
      <c r="BG34" s="39"/>
      <c r="BH34" s="39"/>
      <c r="BI34" s="39"/>
      <c r="BJ34" s="39"/>
      <c r="BK34" s="39"/>
      <c r="BL34" s="39"/>
      <c r="BM34" s="39"/>
      <c r="BN34" s="39"/>
    </row>
    <row r="35" spans="1:66" s="40" customFormat="1" ht="18.75" x14ac:dyDescent="0.2">
      <c r="A35" s="39"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2.5.2</v>
      </c>
      <c r="B35" s="84" t="s">
        <v>178</v>
      </c>
      <c r="C35" s="40" t="s">
        <v>142</v>
      </c>
      <c r="D35" s="83"/>
      <c r="E35" s="65">
        <v>44849</v>
      </c>
      <c r="F35" s="66">
        <f>IF(ISBLANK(E35)," - ",IF(G35=0,E35,E35+G35-1))</f>
        <v>44862</v>
      </c>
      <c r="G35" s="41">
        <v>14</v>
      </c>
      <c r="H35" s="42">
        <v>0</v>
      </c>
      <c r="I35" s="43">
        <f>IF(OR(F35=0,E35=0)," - ",NETWORKDAYS(E35,F35))</f>
        <v>10</v>
      </c>
      <c r="J35" s="62"/>
      <c r="K35" s="39"/>
      <c r="L35" s="39"/>
      <c r="M35" s="39"/>
      <c r="N35" s="39"/>
      <c r="O35" s="39"/>
      <c r="P35" s="39"/>
      <c r="Q35" s="39"/>
      <c r="R35" s="39"/>
      <c r="S35" s="39"/>
      <c r="T35" s="39"/>
      <c r="U35" s="39"/>
      <c r="V35" s="39"/>
      <c r="W35" s="39"/>
      <c r="X35" s="39"/>
      <c r="Y35" s="39"/>
      <c r="Z35" s="39"/>
      <c r="AA35" s="39"/>
      <c r="AB35" s="39"/>
      <c r="AC35" s="39"/>
      <c r="AD35" s="39"/>
      <c r="AE35" s="39"/>
      <c r="AF35" s="39"/>
      <c r="AG35" s="39"/>
      <c r="AH35" s="39"/>
      <c r="AI35" s="39"/>
      <c r="AJ35" s="39"/>
      <c r="AK35" s="39"/>
      <c r="AL35" s="39"/>
      <c r="AM35" s="39"/>
      <c r="AN35" s="39"/>
      <c r="AO35" s="39"/>
      <c r="AP35" s="39"/>
      <c r="AQ35" s="39"/>
      <c r="AR35" s="39"/>
      <c r="AS35" s="39"/>
      <c r="AT35" s="39"/>
      <c r="AU35" s="39"/>
      <c r="AV35" s="39"/>
      <c r="AW35" s="39"/>
      <c r="AX35" s="39"/>
      <c r="AY35" s="39"/>
      <c r="AZ35" s="39"/>
      <c r="BA35" s="39"/>
      <c r="BB35" s="39"/>
      <c r="BC35" s="39"/>
      <c r="BD35" s="39"/>
      <c r="BE35" s="39"/>
      <c r="BF35" s="39"/>
      <c r="BG35" s="39"/>
      <c r="BH35" s="39"/>
      <c r="BI35" s="39"/>
      <c r="BJ35" s="39"/>
      <c r="BK35" s="39"/>
      <c r="BL35" s="39"/>
      <c r="BM35" s="39"/>
      <c r="BN35" s="39"/>
    </row>
    <row r="36" spans="1:66" s="40" customFormat="1" ht="18.75" x14ac:dyDescent="0.2">
      <c r="A36" s="39"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2.6</v>
      </c>
      <c r="B36" s="82" t="s">
        <v>153</v>
      </c>
      <c r="C36" s="40" t="s">
        <v>142</v>
      </c>
      <c r="D36" s="83"/>
      <c r="E36" s="65">
        <v>44842</v>
      </c>
      <c r="F36" s="66">
        <f>IF(ISBLANK(E36)," - ",IF(G36=0,E36,E36+G36-1))</f>
        <v>44861</v>
      </c>
      <c r="G36" s="41">
        <v>20</v>
      </c>
      <c r="H36" s="42">
        <v>0</v>
      </c>
      <c r="I36" s="43">
        <f>IF(OR(F36=0,E36=0)," - ",NETWORKDAYS(E36,F36))</f>
        <v>14</v>
      </c>
      <c r="J36" s="62"/>
      <c r="K36" s="39"/>
      <c r="L36" s="39"/>
      <c r="M36" s="39"/>
      <c r="N36" s="39"/>
      <c r="O36" s="39"/>
      <c r="P36" s="39"/>
      <c r="Q36" s="39"/>
      <c r="R36" s="39"/>
      <c r="S36" s="39"/>
      <c r="T36" s="39"/>
      <c r="U36" s="39"/>
      <c r="V36" s="39"/>
      <c r="W36" s="39"/>
      <c r="X36" s="39"/>
      <c r="Y36" s="39"/>
      <c r="Z36" s="39"/>
      <c r="AA36" s="39"/>
      <c r="AB36" s="39"/>
      <c r="AC36" s="39"/>
      <c r="AD36" s="39"/>
      <c r="AE36" s="39"/>
      <c r="AF36" s="39"/>
      <c r="AG36" s="39"/>
      <c r="AH36" s="39"/>
      <c r="AI36" s="39"/>
      <c r="AJ36" s="39"/>
      <c r="AK36" s="39"/>
      <c r="AL36" s="39"/>
      <c r="AM36" s="39"/>
      <c r="AN36" s="39"/>
      <c r="AO36" s="39"/>
      <c r="AP36" s="39"/>
      <c r="AQ36" s="39"/>
      <c r="AR36" s="39"/>
      <c r="AS36" s="39"/>
      <c r="AT36" s="39"/>
      <c r="AU36" s="39"/>
      <c r="AV36" s="39"/>
      <c r="AW36" s="39"/>
      <c r="AX36" s="39"/>
      <c r="AY36" s="39"/>
      <c r="AZ36" s="39"/>
      <c r="BA36" s="39"/>
      <c r="BB36" s="39"/>
      <c r="BC36" s="39"/>
      <c r="BD36" s="39"/>
      <c r="BE36" s="39"/>
      <c r="BF36" s="39"/>
      <c r="BG36" s="39"/>
      <c r="BH36" s="39"/>
      <c r="BI36" s="39"/>
      <c r="BJ36" s="39"/>
      <c r="BK36" s="39"/>
      <c r="BL36" s="39"/>
      <c r="BM36" s="39"/>
      <c r="BN36" s="39"/>
    </row>
    <row r="37" spans="1:66" s="40" customFormat="1" ht="18.75" x14ac:dyDescent="0.2">
      <c r="A37" s="39"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2.6.1</v>
      </c>
      <c r="B37" s="84" t="s">
        <v>161</v>
      </c>
      <c r="C37" s="40" t="s">
        <v>142</v>
      </c>
      <c r="D37" s="83"/>
      <c r="E37" s="65">
        <v>44842</v>
      </c>
      <c r="F37" s="66">
        <f>IF(ISBLANK(E37)," - ",IF(G37=0,E37,E37+G37-1))</f>
        <v>44861</v>
      </c>
      <c r="G37" s="41">
        <v>20</v>
      </c>
      <c r="H37" s="42">
        <v>0</v>
      </c>
      <c r="I37" s="43">
        <f>IF(OR(F37=0,E37=0)," - ",NETWORKDAYS(E37,F37))</f>
        <v>14</v>
      </c>
      <c r="J37" s="62"/>
      <c r="K37" s="39"/>
      <c r="L37" s="39"/>
      <c r="M37" s="39"/>
      <c r="N37" s="39"/>
      <c r="O37" s="39"/>
      <c r="P37" s="39"/>
      <c r="Q37" s="39"/>
      <c r="R37" s="39"/>
      <c r="S37" s="39"/>
      <c r="T37" s="39"/>
      <c r="U37" s="39"/>
      <c r="V37" s="39"/>
      <c r="W37" s="39"/>
      <c r="X37" s="39"/>
      <c r="Y37" s="39"/>
      <c r="Z37" s="39"/>
      <c r="AA37" s="39"/>
      <c r="AB37" s="39"/>
      <c r="AC37" s="39"/>
      <c r="AD37" s="39"/>
      <c r="AE37" s="39"/>
      <c r="AF37" s="39"/>
      <c r="AG37" s="39"/>
      <c r="AH37" s="39"/>
      <c r="AI37" s="39"/>
      <c r="AJ37" s="39"/>
      <c r="AK37" s="39"/>
      <c r="AL37" s="39"/>
      <c r="AM37" s="39"/>
      <c r="AN37" s="39"/>
      <c r="AO37" s="39"/>
      <c r="AP37" s="39"/>
      <c r="AQ37" s="39"/>
      <c r="AR37" s="39"/>
      <c r="AS37" s="39"/>
      <c r="AT37" s="39"/>
      <c r="AU37" s="39"/>
      <c r="AV37" s="39"/>
      <c r="AW37" s="39"/>
      <c r="AX37" s="39"/>
      <c r="AY37" s="39"/>
      <c r="AZ37" s="39"/>
      <c r="BA37" s="39"/>
      <c r="BB37" s="39"/>
      <c r="BC37" s="39"/>
      <c r="BD37" s="39"/>
      <c r="BE37" s="39"/>
      <c r="BF37" s="39"/>
      <c r="BG37" s="39"/>
      <c r="BH37" s="39"/>
      <c r="BI37" s="39"/>
      <c r="BJ37" s="39"/>
      <c r="BK37" s="39"/>
      <c r="BL37" s="39"/>
      <c r="BM37" s="39"/>
      <c r="BN37" s="39"/>
    </row>
    <row r="38" spans="1:66" s="40" customFormat="1" ht="18.75" x14ac:dyDescent="0.2">
      <c r="A38" s="39"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2.6.2</v>
      </c>
      <c r="B38" s="84" t="s">
        <v>167</v>
      </c>
      <c r="C38" s="40" t="s">
        <v>142</v>
      </c>
      <c r="D38" s="83"/>
      <c r="E38" s="65">
        <v>44842</v>
      </c>
      <c r="F38" s="66">
        <f>IF(ISBLANK(E38)," - ",IF(G38=0,E38,E38+G38-1))</f>
        <v>44861</v>
      </c>
      <c r="G38" s="41">
        <v>20</v>
      </c>
      <c r="H38" s="42">
        <v>0</v>
      </c>
      <c r="I38" s="43">
        <f>IF(OR(F38=0,E38=0)," - ",NETWORKDAYS(E38,F38))</f>
        <v>14</v>
      </c>
      <c r="J38" s="62"/>
      <c r="K38" s="39"/>
      <c r="L38" s="39"/>
      <c r="M38" s="39"/>
      <c r="N38" s="39"/>
      <c r="O38" s="39"/>
      <c r="P38" s="39"/>
      <c r="Q38" s="39"/>
      <c r="R38" s="39"/>
      <c r="S38" s="39"/>
      <c r="T38" s="39"/>
      <c r="U38" s="39"/>
      <c r="V38" s="39"/>
      <c r="W38" s="39"/>
      <c r="X38" s="39"/>
      <c r="Y38" s="39"/>
      <c r="Z38" s="39"/>
      <c r="AA38" s="39"/>
      <c r="AB38" s="39"/>
      <c r="AC38" s="39"/>
      <c r="AD38" s="39"/>
      <c r="AE38" s="39"/>
      <c r="AF38" s="39"/>
      <c r="AG38" s="39"/>
      <c r="AH38" s="39"/>
      <c r="AI38" s="39"/>
      <c r="AJ38" s="39"/>
      <c r="AK38" s="39"/>
      <c r="AL38" s="39"/>
      <c r="AM38" s="39"/>
      <c r="AN38" s="39"/>
      <c r="AO38" s="39"/>
      <c r="AP38" s="39"/>
      <c r="AQ38" s="39"/>
      <c r="AR38" s="39"/>
      <c r="AS38" s="39"/>
      <c r="AT38" s="39"/>
      <c r="AU38" s="39"/>
      <c r="AV38" s="39"/>
      <c r="AW38" s="39"/>
      <c r="AX38" s="39"/>
      <c r="AY38" s="39"/>
      <c r="AZ38" s="39"/>
      <c r="BA38" s="39"/>
      <c r="BB38" s="39"/>
      <c r="BC38" s="39"/>
      <c r="BD38" s="39"/>
      <c r="BE38" s="39"/>
      <c r="BF38" s="39"/>
      <c r="BG38" s="39"/>
      <c r="BH38" s="39"/>
      <c r="BI38" s="39"/>
      <c r="BJ38" s="39"/>
      <c r="BK38" s="39"/>
      <c r="BL38" s="39"/>
      <c r="BM38" s="39"/>
      <c r="BN38" s="39"/>
    </row>
    <row r="39" spans="1:66" s="40" customFormat="1" ht="18.75" x14ac:dyDescent="0.2">
      <c r="A39" s="39"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2.7</v>
      </c>
      <c r="B39" s="82" t="s">
        <v>173</v>
      </c>
      <c r="C39" s="40" t="s">
        <v>142</v>
      </c>
      <c r="D39" s="83"/>
      <c r="E39" s="65">
        <v>44862</v>
      </c>
      <c r="F39" s="66">
        <f t="shared" ref="F39" si="29">IF(ISBLANK(E39)," - ",IF(G39=0,E39,E39+G39-1))</f>
        <v>44862</v>
      </c>
      <c r="G39" s="41">
        <v>1</v>
      </c>
      <c r="H39" s="42">
        <v>0</v>
      </c>
      <c r="I39" s="43">
        <f t="shared" ref="I39" si="30">IF(OR(F39=0,E39=0)," - ",NETWORKDAYS(E39,F39))</f>
        <v>1</v>
      </c>
      <c r="J39" s="62"/>
      <c r="K39" s="39"/>
      <c r="L39" s="39"/>
      <c r="M39" s="39"/>
      <c r="N39" s="39"/>
      <c r="O39" s="39"/>
      <c r="P39" s="39"/>
      <c r="Q39" s="39"/>
      <c r="R39" s="39"/>
      <c r="S39" s="39"/>
      <c r="T39" s="39"/>
      <c r="U39" s="39"/>
      <c r="V39" s="39"/>
      <c r="W39" s="39"/>
      <c r="X39" s="39"/>
      <c r="Y39" s="39"/>
      <c r="Z39" s="39"/>
      <c r="AA39" s="39"/>
      <c r="AB39" s="39"/>
      <c r="AC39" s="39"/>
      <c r="AD39" s="39"/>
      <c r="AE39" s="39"/>
      <c r="AF39" s="39"/>
      <c r="AG39" s="39"/>
      <c r="AH39" s="39"/>
      <c r="AI39" s="39"/>
      <c r="AJ39" s="39"/>
      <c r="AK39" s="39"/>
      <c r="AL39" s="39"/>
      <c r="AM39" s="39"/>
      <c r="AN39" s="39"/>
      <c r="AO39" s="39"/>
      <c r="AP39" s="39"/>
      <c r="AQ39" s="39"/>
      <c r="AR39" s="39"/>
      <c r="AS39" s="39"/>
      <c r="AT39" s="39"/>
      <c r="AU39" s="39"/>
      <c r="AV39" s="39"/>
      <c r="AW39" s="39"/>
      <c r="AX39" s="39"/>
      <c r="AY39" s="39"/>
      <c r="AZ39" s="39"/>
      <c r="BA39" s="39"/>
      <c r="BB39" s="39"/>
      <c r="BC39" s="39"/>
      <c r="BD39" s="39"/>
      <c r="BE39" s="39"/>
      <c r="BF39" s="39"/>
      <c r="BG39" s="39"/>
      <c r="BH39" s="39"/>
      <c r="BI39" s="39"/>
      <c r="BJ39" s="39"/>
      <c r="BK39" s="39"/>
      <c r="BL39" s="39"/>
      <c r="BM39" s="39"/>
      <c r="BN39" s="39"/>
    </row>
    <row r="40" spans="1:66" s="40" customFormat="1" ht="18.75" x14ac:dyDescent="0.2">
      <c r="A40" s="39"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2.8</v>
      </c>
      <c r="B40" s="82" t="s">
        <v>150</v>
      </c>
      <c r="C40" s="40" t="s">
        <v>147</v>
      </c>
      <c r="D40" s="83"/>
      <c r="E40" s="65">
        <v>44862</v>
      </c>
      <c r="F40" s="66">
        <f>IF(ISBLANK(E40)," - ",IF(G40=0,E40,E40+G40-1))</f>
        <v>44881</v>
      </c>
      <c r="G40" s="41">
        <v>20</v>
      </c>
      <c r="H40" s="42">
        <v>0</v>
      </c>
      <c r="I40" s="43">
        <f>IF(OR(F40=0,E40=0)," - ",NETWORKDAYS(E40,F40))</f>
        <v>14</v>
      </c>
      <c r="J40" s="62"/>
      <c r="K40" s="39"/>
      <c r="L40" s="39"/>
      <c r="M40" s="39"/>
      <c r="N40" s="39"/>
      <c r="O40" s="39"/>
      <c r="P40" s="39"/>
      <c r="Q40" s="39"/>
      <c r="R40" s="39"/>
      <c r="S40" s="39"/>
      <c r="T40" s="39"/>
      <c r="U40" s="39"/>
      <c r="V40" s="39"/>
      <c r="W40" s="39"/>
      <c r="X40" s="39"/>
      <c r="Y40" s="39"/>
      <c r="Z40" s="39"/>
      <c r="AA40" s="39"/>
      <c r="AB40" s="39"/>
      <c r="AC40" s="39"/>
      <c r="AD40" s="39"/>
      <c r="AE40" s="39"/>
      <c r="AF40" s="39"/>
      <c r="AG40" s="39"/>
      <c r="AH40" s="39"/>
      <c r="AI40" s="39"/>
      <c r="AJ40" s="39"/>
      <c r="AK40" s="39"/>
      <c r="AL40" s="39"/>
      <c r="AM40" s="39"/>
      <c r="AN40" s="39"/>
      <c r="AO40" s="39"/>
      <c r="AP40" s="39"/>
      <c r="AQ40" s="39"/>
      <c r="AR40" s="39"/>
      <c r="AS40" s="39"/>
      <c r="AT40" s="39"/>
      <c r="AU40" s="39"/>
      <c r="AV40" s="39"/>
      <c r="AW40" s="39"/>
      <c r="AX40" s="39"/>
      <c r="AY40" s="39"/>
      <c r="AZ40" s="39"/>
      <c r="BA40" s="39"/>
      <c r="BB40" s="39"/>
      <c r="BC40" s="39"/>
      <c r="BD40" s="39"/>
      <c r="BE40" s="39"/>
      <c r="BF40" s="39"/>
      <c r="BG40" s="39"/>
      <c r="BH40" s="39"/>
      <c r="BI40" s="39"/>
      <c r="BJ40" s="39"/>
      <c r="BK40" s="39"/>
      <c r="BL40" s="39"/>
      <c r="BM40" s="39"/>
      <c r="BN40" s="39"/>
    </row>
    <row r="41" spans="1:66" s="34" customFormat="1" ht="18.75" x14ac:dyDescent="0.2">
      <c r="A41" s="32" t="str">
        <f>IF(ISERROR(VALUE(SUBSTITUTE(prevWBS,".",""))),"1",IF(ISERROR(FIND("`",SUBSTITUTE(prevWBS,".","`",1))),TEXT(VALUE(prevWBS)+1,"#"),TEXT(VALUE(LEFT(prevWBS,FIND("`",SUBSTITUTE(prevWBS,".","`",1))-1))+1,"#")))</f>
        <v>3</v>
      </c>
      <c r="B41" s="33" t="s">
        <v>146</v>
      </c>
      <c r="D41" s="35"/>
      <c r="E41" s="67"/>
      <c r="F41" s="67" t="str">
        <f t="shared" si="12"/>
        <v xml:space="preserve"> - </v>
      </c>
      <c r="G41" s="36"/>
      <c r="H41" s="37"/>
      <c r="I41" s="38" t="str">
        <f t="shared" si="13"/>
        <v xml:space="preserve"> - </v>
      </c>
      <c r="J41" s="63"/>
      <c r="K41" s="70"/>
      <c r="L41" s="70"/>
      <c r="M41" s="70"/>
      <c r="N41" s="70"/>
      <c r="O41" s="70"/>
      <c r="P41" s="70"/>
      <c r="Q41" s="70"/>
      <c r="R41" s="70"/>
      <c r="S41" s="70"/>
      <c r="T41" s="70"/>
      <c r="U41" s="70"/>
      <c r="V41" s="70"/>
      <c r="W41" s="70"/>
      <c r="X41" s="70"/>
      <c r="Y41" s="70"/>
      <c r="Z41" s="70"/>
      <c r="AA41" s="70"/>
      <c r="AB41" s="70"/>
      <c r="AC41" s="70"/>
      <c r="AD41" s="70"/>
      <c r="AE41" s="70"/>
      <c r="AF41" s="70"/>
      <c r="AG41" s="70"/>
      <c r="AH41" s="70"/>
      <c r="AI41" s="70"/>
      <c r="AJ41" s="70"/>
      <c r="AK41" s="70"/>
      <c r="AL41" s="70"/>
      <c r="AM41" s="70"/>
      <c r="AN41" s="70"/>
      <c r="AO41" s="70"/>
      <c r="AP41" s="70"/>
      <c r="AQ41" s="70"/>
      <c r="AR41" s="70"/>
      <c r="AS41" s="70"/>
      <c r="AT41" s="70"/>
      <c r="AU41" s="70"/>
      <c r="AV41" s="70"/>
      <c r="AW41" s="70"/>
      <c r="AX41" s="70"/>
      <c r="AY41" s="70"/>
      <c r="AZ41" s="70"/>
      <c r="BA41" s="70"/>
      <c r="BB41" s="70"/>
      <c r="BC41" s="70"/>
      <c r="BD41" s="70"/>
      <c r="BE41" s="70"/>
      <c r="BF41" s="70"/>
      <c r="BG41" s="70"/>
      <c r="BH41" s="70"/>
      <c r="BI41" s="70"/>
      <c r="BJ41" s="70"/>
      <c r="BK41" s="70"/>
      <c r="BL41" s="70"/>
      <c r="BM41" s="70"/>
      <c r="BN41" s="70"/>
    </row>
    <row r="42" spans="1:66" s="40" customFormat="1" ht="18.75" x14ac:dyDescent="0.2">
      <c r="A42" s="39" t="str">
        <f t="shared" ref="A42:A49" si="31">IF(ISERROR(VALUE(SUBSTITUTE(prevWBS,".",""))),"0.1",IF(ISERROR(FIND("`",SUBSTITUTE(prevWBS,".","`",1))),prevWBS&amp;".1",LEFT(prevWBS,FIND("`",SUBSTITUTE(prevWBS,".","`",1)))&amp;IF(ISERROR(FIND("`",SUBSTITUTE(prevWBS,".","`",2))),VALUE(RIGHT(prevWBS,LEN(prevWBS)-FIND("`",SUBSTITUTE(prevWBS,".","`",1))))+1,VALUE(MID(prevWBS,FIND("`",SUBSTITUTE(prevWBS,".","`",1))+1,(FIND("`",SUBSTITUTE(prevWBS,".","`",2))-FIND("`",SUBSTITUTE(prevWBS,".","`",1))-1)))+1)))</f>
        <v>3.1</v>
      </c>
      <c r="B42" s="82" t="s">
        <v>174</v>
      </c>
      <c r="C42" s="40" t="s">
        <v>142</v>
      </c>
      <c r="D42" s="83"/>
      <c r="E42" s="65">
        <v>44876</v>
      </c>
      <c r="F42" s="66">
        <f>IF(ISBLANK(E42)," - ",IF(G42=0,E42,E42+G42-1))</f>
        <v>44876</v>
      </c>
      <c r="G42" s="41">
        <v>1</v>
      </c>
      <c r="H42" s="42">
        <v>0</v>
      </c>
      <c r="I42" s="43">
        <f>IF(OR(F42=0,E42=0)," - ",NETWORKDAYS(E42,F42))</f>
        <v>1</v>
      </c>
      <c r="J42" s="62"/>
      <c r="K42" s="39"/>
      <c r="L42" s="39"/>
      <c r="M42" s="39"/>
      <c r="N42" s="39"/>
      <c r="O42" s="39"/>
      <c r="P42" s="39"/>
      <c r="Q42" s="39"/>
      <c r="R42" s="39"/>
      <c r="S42" s="39"/>
      <c r="T42" s="39"/>
      <c r="U42" s="39"/>
      <c r="V42" s="39"/>
      <c r="W42" s="39"/>
      <c r="X42" s="39"/>
      <c r="Y42" s="39"/>
      <c r="Z42" s="39"/>
      <c r="AA42" s="39"/>
      <c r="AB42" s="39"/>
      <c r="AC42" s="39"/>
      <c r="AD42" s="39"/>
      <c r="AE42" s="39"/>
      <c r="AF42" s="39"/>
      <c r="AG42" s="39"/>
      <c r="AH42" s="39"/>
      <c r="AI42" s="39"/>
      <c r="AJ42" s="39"/>
      <c r="AK42" s="39"/>
      <c r="AL42" s="39"/>
      <c r="AM42" s="39"/>
      <c r="AN42" s="39"/>
      <c r="AO42" s="39"/>
      <c r="AP42" s="39"/>
      <c r="AQ42" s="39"/>
      <c r="AR42" s="39"/>
      <c r="AS42" s="39"/>
      <c r="AT42" s="39"/>
      <c r="AU42" s="39"/>
      <c r="AV42" s="39"/>
      <c r="AW42" s="39"/>
      <c r="AX42" s="39"/>
      <c r="AY42" s="39"/>
      <c r="AZ42" s="39"/>
      <c r="BA42" s="39"/>
      <c r="BB42" s="39"/>
      <c r="BC42" s="39"/>
      <c r="BD42" s="39"/>
      <c r="BE42" s="39"/>
      <c r="BF42" s="39"/>
      <c r="BG42" s="39"/>
      <c r="BH42" s="39"/>
      <c r="BI42" s="39"/>
      <c r="BJ42" s="39"/>
      <c r="BK42" s="39"/>
      <c r="BL42" s="39"/>
      <c r="BM42" s="39"/>
      <c r="BN42" s="39"/>
    </row>
    <row r="43" spans="1:66" s="40" customFormat="1" ht="18.75" x14ac:dyDescent="0.2">
      <c r="A43" s="39" t="str">
        <f t="shared" si="31"/>
        <v>3.2</v>
      </c>
      <c r="B43" s="82" t="s">
        <v>171</v>
      </c>
      <c r="C43" s="40" t="s">
        <v>142</v>
      </c>
      <c r="D43" s="83"/>
      <c r="E43" s="65">
        <v>44882</v>
      </c>
      <c r="F43" s="66">
        <f t="shared" ref="F43" si="32">IF(ISBLANK(E43)," - ",IF(G43=0,E43,E43+G43-1))</f>
        <v>44895</v>
      </c>
      <c r="G43" s="41">
        <v>14</v>
      </c>
      <c r="H43" s="42">
        <v>0</v>
      </c>
      <c r="I43" s="43">
        <f>IF(OR(F43=0,E43=0)," - ",NETWORKDAYS(E43,F43))</f>
        <v>10</v>
      </c>
      <c r="J43" s="62"/>
      <c r="K43" s="39"/>
      <c r="L43" s="39"/>
      <c r="M43" s="39"/>
      <c r="N43" s="39"/>
      <c r="O43" s="39"/>
      <c r="P43" s="39"/>
      <c r="Q43" s="39"/>
      <c r="R43" s="39"/>
      <c r="S43" s="39"/>
      <c r="T43" s="39"/>
      <c r="U43" s="39"/>
      <c r="V43" s="39"/>
      <c r="W43" s="39"/>
      <c r="X43" s="39"/>
      <c r="Y43" s="39"/>
      <c r="Z43" s="39"/>
      <c r="AA43" s="39"/>
      <c r="AB43" s="39"/>
      <c r="AC43" s="39"/>
      <c r="AD43" s="39"/>
      <c r="AE43" s="39"/>
      <c r="AF43" s="39"/>
      <c r="AG43" s="39"/>
      <c r="AH43" s="39"/>
      <c r="AI43" s="39"/>
      <c r="AJ43" s="39"/>
      <c r="AK43" s="39"/>
      <c r="AL43" s="39"/>
      <c r="AM43" s="39"/>
      <c r="AN43" s="39"/>
      <c r="AO43" s="39"/>
      <c r="AP43" s="39"/>
      <c r="AQ43" s="39"/>
      <c r="AR43" s="39"/>
      <c r="AS43" s="39"/>
      <c r="AT43" s="39"/>
      <c r="AU43" s="39"/>
      <c r="AV43" s="39"/>
      <c r="AW43" s="39"/>
      <c r="AX43" s="39"/>
      <c r="AY43" s="39"/>
      <c r="AZ43" s="39"/>
      <c r="BA43" s="39"/>
      <c r="BB43" s="39"/>
      <c r="BC43" s="39"/>
      <c r="BD43" s="39"/>
      <c r="BE43" s="39"/>
      <c r="BF43" s="39"/>
      <c r="BG43" s="39"/>
      <c r="BH43" s="39"/>
      <c r="BI43" s="39"/>
      <c r="BJ43" s="39"/>
      <c r="BK43" s="39"/>
      <c r="BL43" s="39"/>
      <c r="BM43" s="39"/>
      <c r="BN43" s="39"/>
    </row>
    <row r="44" spans="1:66" s="40" customFormat="1" ht="18.75" x14ac:dyDescent="0.2">
      <c r="A44" s="39" t="str">
        <f t="shared" si="31"/>
        <v>3.3</v>
      </c>
      <c r="B44" s="82" t="s">
        <v>175</v>
      </c>
      <c r="C44" s="40" t="s">
        <v>142</v>
      </c>
      <c r="D44" s="83"/>
      <c r="E44" s="65">
        <v>44882</v>
      </c>
      <c r="F44" s="66">
        <f t="shared" ref="F44:F47" si="33">IF(ISBLANK(E44)," - ",IF(G44=0,E44,E44+G44-1))</f>
        <v>44895</v>
      </c>
      <c r="G44" s="41">
        <v>14</v>
      </c>
      <c r="H44" s="42">
        <v>0</v>
      </c>
      <c r="I44" s="43">
        <f>IF(OR(F44=0,E44=0)," - ",NETWORKDAYS(E44,F44))</f>
        <v>10</v>
      </c>
      <c r="J44" s="62"/>
      <c r="K44" s="39"/>
      <c r="L44" s="39"/>
      <c r="M44" s="39"/>
      <c r="N44" s="39"/>
      <c r="O44" s="39"/>
      <c r="P44" s="39"/>
      <c r="Q44" s="39"/>
      <c r="R44" s="39"/>
      <c r="S44" s="39"/>
      <c r="T44" s="39"/>
      <c r="U44" s="39"/>
      <c r="V44" s="39"/>
      <c r="W44" s="39"/>
      <c r="X44" s="39"/>
      <c r="Y44" s="39"/>
      <c r="Z44" s="39"/>
      <c r="AA44" s="39"/>
      <c r="AB44" s="39"/>
      <c r="AC44" s="39"/>
      <c r="AD44" s="39"/>
      <c r="AE44" s="39"/>
      <c r="AF44" s="39"/>
      <c r="AG44" s="39"/>
      <c r="AH44" s="39"/>
      <c r="AI44" s="39"/>
      <c r="AJ44" s="39"/>
      <c r="AK44" s="39"/>
      <c r="AL44" s="39"/>
      <c r="AM44" s="39"/>
      <c r="AN44" s="39"/>
      <c r="AO44" s="39"/>
      <c r="AP44" s="39"/>
      <c r="AQ44" s="39"/>
      <c r="AR44" s="39"/>
      <c r="AS44" s="39"/>
      <c r="AT44" s="39"/>
      <c r="AU44" s="39"/>
      <c r="AV44" s="39"/>
      <c r="AW44" s="39"/>
      <c r="AX44" s="39"/>
      <c r="AY44" s="39"/>
      <c r="AZ44" s="39"/>
      <c r="BA44" s="39"/>
      <c r="BB44" s="39"/>
      <c r="BC44" s="39"/>
      <c r="BD44" s="39"/>
      <c r="BE44" s="39"/>
      <c r="BF44" s="39"/>
      <c r="BG44" s="39"/>
      <c r="BH44" s="39"/>
      <c r="BI44" s="39"/>
      <c r="BJ44" s="39"/>
      <c r="BK44" s="39"/>
      <c r="BL44" s="39"/>
      <c r="BM44" s="39"/>
      <c r="BN44" s="39"/>
    </row>
    <row r="45" spans="1:66" s="40" customFormat="1" ht="18.75" x14ac:dyDescent="0.2">
      <c r="A45" s="39" t="str">
        <f t="shared" si="31"/>
        <v>3.4</v>
      </c>
      <c r="B45" s="82" t="s">
        <v>176</v>
      </c>
      <c r="C45" s="40" t="s">
        <v>154</v>
      </c>
      <c r="D45" s="83"/>
      <c r="E45" s="65">
        <v>44885</v>
      </c>
      <c r="F45" s="66">
        <f>IF(ISBLANK(E45)," - ",IF(G45=0,E45,E45+G45-1))</f>
        <v>44891</v>
      </c>
      <c r="G45" s="41">
        <v>7</v>
      </c>
      <c r="H45" s="42">
        <v>0</v>
      </c>
      <c r="I45" s="43">
        <f>IF(OR(F45=0,E45=0)," - ",NETWORKDAYS(E45,F45))</f>
        <v>5</v>
      </c>
      <c r="J45" s="62"/>
      <c r="K45" s="39"/>
      <c r="L45" s="39"/>
      <c r="M45" s="39"/>
      <c r="N45" s="39"/>
      <c r="O45" s="39"/>
      <c r="P45" s="39"/>
      <c r="Q45" s="39"/>
      <c r="R45" s="39"/>
      <c r="S45" s="39"/>
      <c r="T45" s="39"/>
      <c r="U45" s="39"/>
      <c r="V45" s="39"/>
      <c r="W45" s="39"/>
      <c r="X45" s="39"/>
      <c r="Y45" s="39"/>
      <c r="Z45" s="39"/>
      <c r="AA45" s="39"/>
      <c r="AB45" s="39"/>
      <c r="AC45" s="39"/>
      <c r="AD45" s="39"/>
      <c r="AE45" s="39"/>
      <c r="AF45" s="39"/>
      <c r="AG45" s="39"/>
      <c r="AH45" s="39"/>
      <c r="AI45" s="39"/>
      <c r="AJ45" s="39"/>
      <c r="AK45" s="39"/>
      <c r="AL45" s="39"/>
      <c r="AM45" s="39"/>
      <c r="AN45" s="39"/>
      <c r="AO45" s="39"/>
      <c r="AP45" s="39"/>
      <c r="AQ45" s="39"/>
      <c r="AR45" s="39"/>
      <c r="AS45" s="39"/>
      <c r="AT45" s="39"/>
      <c r="AU45" s="39"/>
      <c r="AV45" s="39"/>
      <c r="AW45" s="39"/>
      <c r="AX45" s="39"/>
      <c r="AY45" s="39"/>
      <c r="AZ45" s="39"/>
      <c r="BA45" s="39"/>
      <c r="BB45" s="39"/>
      <c r="BC45" s="39"/>
      <c r="BD45" s="39"/>
      <c r="BE45" s="39"/>
      <c r="BF45" s="39"/>
      <c r="BG45" s="39"/>
      <c r="BH45" s="39"/>
      <c r="BI45" s="39"/>
      <c r="BJ45" s="39"/>
      <c r="BK45" s="39"/>
      <c r="BL45" s="39"/>
      <c r="BM45" s="39"/>
      <c r="BN45" s="39"/>
    </row>
    <row r="46" spans="1:66" s="40" customFormat="1" ht="18.75" x14ac:dyDescent="0.2">
      <c r="A46" s="39" t="str">
        <f t="shared" si="31"/>
        <v>3.5</v>
      </c>
      <c r="B46" s="82" t="s">
        <v>180</v>
      </c>
      <c r="C46" s="40" t="s">
        <v>142</v>
      </c>
      <c r="D46" s="83"/>
      <c r="E46" s="65" t="s">
        <v>170</v>
      </c>
      <c r="F46" s="66"/>
      <c r="G46" s="41">
        <v>2</v>
      </c>
      <c r="H46" s="42">
        <v>0</v>
      </c>
      <c r="I46" s="43" t="str">
        <f t="shared" ref="I46" si="34">IF(OR(F46=0,E46=0)," - ",NETWORKDAYS(E46,F46))</f>
        <v xml:space="preserve"> - </v>
      </c>
      <c r="J46" s="62"/>
      <c r="K46" s="39"/>
      <c r="L46" s="39"/>
      <c r="M46" s="39"/>
      <c r="N46" s="39"/>
      <c r="O46" s="39"/>
      <c r="P46" s="39"/>
      <c r="Q46" s="39"/>
      <c r="R46" s="39"/>
      <c r="S46" s="39"/>
      <c r="T46" s="39"/>
      <c r="U46" s="39"/>
      <c r="V46" s="39"/>
      <c r="W46" s="39"/>
      <c r="X46" s="39"/>
      <c r="Y46" s="39"/>
      <c r="Z46" s="39"/>
      <c r="AA46" s="39"/>
      <c r="AB46" s="39"/>
      <c r="AC46" s="39"/>
      <c r="AD46" s="39"/>
      <c r="AE46" s="39"/>
      <c r="AF46" s="39"/>
      <c r="AG46" s="39"/>
      <c r="AH46" s="39"/>
      <c r="AI46" s="39"/>
      <c r="AJ46" s="39"/>
      <c r="AK46" s="39"/>
      <c r="AL46" s="39"/>
      <c r="AM46" s="39"/>
      <c r="AN46" s="39"/>
      <c r="AO46" s="39"/>
      <c r="AP46" s="39"/>
      <c r="AQ46" s="39"/>
      <c r="AR46" s="39"/>
      <c r="AS46" s="39"/>
      <c r="AT46" s="39"/>
      <c r="AU46" s="39"/>
      <c r="AV46" s="39"/>
      <c r="AW46" s="39"/>
      <c r="AX46" s="39"/>
      <c r="AY46" s="39"/>
      <c r="AZ46" s="39"/>
      <c r="BA46" s="39"/>
      <c r="BB46" s="39"/>
      <c r="BC46" s="39"/>
      <c r="BD46" s="39"/>
      <c r="BE46" s="39"/>
      <c r="BF46" s="39"/>
      <c r="BG46" s="39"/>
      <c r="BH46" s="39"/>
      <c r="BI46" s="39"/>
      <c r="BJ46" s="39"/>
      <c r="BK46" s="39"/>
      <c r="BL46" s="39"/>
      <c r="BM46" s="39"/>
      <c r="BN46" s="39"/>
    </row>
    <row r="47" spans="1:66" s="40" customFormat="1" ht="18.75" x14ac:dyDescent="0.2">
      <c r="A47" s="39" t="str">
        <f t="shared" si="31"/>
        <v>3.6</v>
      </c>
      <c r="B47" s="82" t="s">
        <v>177</v>
      </c>
      <c r="C47" s="40" t="s">
        <v>142</v>
      </c>
      <c r="D47" s="83"/>
      <c r="E47" s="65">
        <v>44890</v>
      </c>
      <c r="F47" s="66">
        <f t="shared" si="33"/>
        <v>44890</v>
      </c>
      <c r="G47" s="41">
        <v>1</v>
      </c>
      <c r="H47" s="42">
        <v>0</v>
      </c>
      <c r="I47" s="43">
        <f t="shared" ref="I47:I48" si="35">IF(OR(F47=0,E47=0)," - ",NETWORKDAYS(E47,F47))</f>
        <v>1</v>
      </c>
      <c r="J47" s="62"/>
      <c r="K47" s="39"/>
      <c r="L47" s="39"/>
      <c r="M47" s="39"/>
      <c r="N47" s="39"/>
      <c r="O47" s="39"/>
      <c r="P47" s="39"/>
      <c r="Q47" s="39"/>
      <c r="R47" s="39"/>
      <c r="S47" s="39"/>
      <c r="T47" s="39"/>
      <c r="U47" s="39"/>
      <c r="V47" s="39"/>
      <c r="W47" s="39"/>
      <c r="X47" s="39"/>
      <c r="Y47" s="39"/>
      <c r="Z47" s="39"/>
      <c r="AA47" s="39"/>
      <c r="AB47" s="39"/>
      <c r="AC47" s="39"/>
      <c r="AD47" s="39"/>
      <c r="AE47" s="39"/>
      <c r="AF47" s="39"/>
      <c r="AG47" s="39"/>
      <c r="AH47" s="39"/>
      <c r="AI47" s="39"/>
      <c r="AJ47" s="39"/>
      <c r="AK47" s="39"/>
      <c r="AL47" s="39"/>
      <c r="AM47" s="39"/>
      <c r="AN47" s="39"/>
      <c r="AO47" s="39"/>
      <c r="AP47" s="39"/>
      <c r="AQ47" s="39"/>
      <c r="AR47" s="39"/>
      <c r="AS47" s="39"/>
      <c r="AT47" s="39"/>
      <c r="AU47" s="39"/>
      <c r="AV47" s="39"/>
      <c r="AW47" s="39"/>
      <c r="AX47" s="39"/>
      <c r="AY47" s="39"/>
      <c r="AZ47" s="39"/>
      <c r="BA47" s="39"/>
      <c r="BB47" s="39"/>
      <c r="BC47" s="39"/>
      <c r="BD47" s="39"/>
      <c r="BE47" s="39"/>
      <c r="BF47" s="39"/>
      <c r="BG47" s="39"/>
      <c r="BH47" s="39"/>
      <c r="BI47" s="39"/>
      <c r="BJ47" s="39"/>
      <c r="BK47" s="39"/>
      <c r="BL47" s="39"/>
      <c r="BM47" s="39"/>
      <c r="BN47" s="39"/>
    </row>
    <row r="48" spans="1:66" s="40" customFormat="1" ht="18.75" x14ac:dyDescent="0.2">
      <c r="A48" s="39" t="str">
        <f t="shared" si="31"/>
        <v>3.7</v>
      </c>
      <c r="B48" s="82" t="s">
        <v>156</v>
      </c>
      <c r="C48" s="40" t="s">
        <v>142</v>
      </c>
      <c r="D48" s="83"/>
      <c r="E48" s="65">
        <v>44896</v>
      </c>
      <c r="F48" s="66">
        <f>IF(ISBLANK(E48)," - ",IF(G48=0,E48,E48+G48-1))</f>
        <v>44902</v>
      </c>
      <c r="G48" s="41">
        <v>7</v>
      </c>
      <c r="H48" s="42">
        <v>0</v>
      </c>
      <c r="I48" s="43">
        <f t="shared" si="35"/>
        <v>5</v>
      </c>
      <c r="J48" s="62"/>
      <c r="K48" s="39"/>
      <c r="L48" s="39"/>
      <c r="M48" s="39"/>
      <c r="N48" s="39"/>
      <c r="O48" s="39"/>
      <c r="P48" s="39"/>
      <c r="Q48" s="39"/>
      <c r="R48" s="39"/>
      <c r="S48" s="39"/>
      <c r="T48" s="39"/>
      <c r="U48" s="39"/>
      <c r="V48" s="39"/>
      <c r="W48" s="39"/>
      <c r="X48" s="39"/>
      <c r="Y48" s="39"/>
      <c r="Z48" s="39"/>
      <c r="AA48" s="39"/>
      <c r="AB48" s="39"/>
      <c r="AC48" s="39"/>
      <c r="AD48" s="39"/>
      <c r="AE48" s="39"/>
      <c r="AF48" s="39"/>
      <c r="AG48" s="39"/>
      <c r="AH48" s="39"/>
      <c r="AI48" s="39"/>
      <c r="AJ48" s="39"/>
      <c r="AK48" s="39"/>
      <c r="AL48" s="39"/>
      <c r="AM48" s="39"/>
      <c r="AN48" s="39"/>
      <c r="AO48" s="39"/>
      <c r="AP48" s="39"/>
      <c r="AQ48" s="39"/>
      <c r="AR48" s="39"/>
      <c r="AS48" s="39"/>
      <c r="AT48" s="39"/>
      <c r="AU48" s="39"/>
      <c r="AV48" s="39"/>
      <c r="AW48" s="39"/>
      <c r="AX48" s="39"/>
      <c r="AY48" s="39"/>
      <c r="AZ48" s="39"/>
      <c r="BA48" s="39"/>
      <c r="BB48" s="39"/>
      <c r="BC48" s="39"/>
      <c r="BD48" s="39"/>
      <c r="BE48" s="39"/>
      <c r="BF48" s="39"/>
      <c r="BG48" s="39"/>
      <c r="BH48" s="39"/>
      <c r="BI48" s="39"/>
      <c r="BJ48" s="39"/>
      <c r="BK48" s="39"/>
      <c r="BL48" s="39"/>
      <c r="BM48" s="39"/>
      <c r="BN48" s="39"/>
    </row>
    <row r="49" spans="1:66" s="40" customFormat="1" ht="18.75" x14ac:dyDescent="0.2">
      <c r="A49" s="39" t="str">
        <f t="shared" si="31"/>
        <v>3.8</v>
      </c>
      <c r="B49" s="82" t="s">
        <v>155</v>
      </c>
      <c r="C49" s="40" t="s">
        <v>154</v>
      </c>
      <c r="D49" s="83"/>
      <c r="E49" s="65">
        <v>44903</v>
      </c>
      <c r="F49" s="66">
        <f>IF(ISBLANK(E49)," - ",IF(G49=0,E49,E49+G49-1))</f>
        <v>44912</v>
      </c>
      <c r="G49" s="41">
        <v>10</v>
      </c>
      <c r="H49" s="42">
        <v>0</v>
      </c>
      <c r="I49" s="43">
        <f t="shared" si="13"/>
        <v>7</v>
      </c>
      <c r="J49" s="62"/>
      <c r="K49" s="39"/>
      <c r="L49" s="39"/>
      <c r="M49" s="39"/>
      <c r="N49" s="39"/>
      <c r="O49" s="39"/>
      <c r="P49" s="39"/>
      <c r="Q49" s="39"/>
      <c r="R49" s="39"/>
      <c r="S49" s="39"/>
      <c r="T49" s="39"/>
      <c r="U49" s="39"/>
      <c r="V49" s="39"/>
      <c r="W49" s="39"/>
      <c r="X49" s="39"/>
      <c r="Y49" s="39"/>
      <c r="Z49" s="39"/>
      <c r="AA49" s="39"/>
      <c r="AB49" s="39"/>
      <c r="AC49" s="39"/>
      <c r="AD49" s="39"/>
      <c r="AE49" s="39"/>
      <c r="AF49" s="39"/>
      <c r="AG49" s="39"/>
      <c r="AH49" s="39"/>
      <c r="AI49" s="39"/>
      <c r="AJ49" s="39"/>
      <c r="AK49" s="39"/>
      <c r="AL49" s="39"/>
      <c r="AM49" s="39"/>
      <c r="AN49" s="39"/>
      <c r="AO49" s="39"/>
      <c r="AP49" s="39"/>
      <c r="AQ49" s="39"/>
      <c r="AR49" s="39"/>
      <c r="AS49" s="39"/>
      <c r="AT49" s="39"/>
      <c r="AU49" s="39"/>
      <c r="AV49" s="39"/>
      <c r="AW49" s="39"/>
      <c r="AX49" s="39"/>
      <c r="AY49" s="39"/>
      <c r="AZ49" s="39"/>
      <c r="BA49" s="39"/>
      <c r="BB49" s="39"/>
      <c r="BC49" s="39"/>
      <c r="BD49" s="39"/>
      <c r="BE49" s="39"/>
      <c r="BF49" s="39"/>
      <c r="BG49" s="39"/>
      <c r="BH49" s="39"/>
      <c r="BI49" s="39"/>
      <c r="BJ49" s="39"/>
      <c r="BK49" s="39"/>
      <c r="BL49" s="39"/>
      <c r="BM49" s="39"/>
      <c r="BN49" s="39"/>
    </row>
    <row r="50" spans="1:66" s="34" customFormat="1" ht="18.75" x14ac:dyDescent="0.2">
      <c r="A50" s="32" t="str">
        <f>IF(ISERROR(VALUE(SUBSTITUTE(prevWBS,".",""))),"1",IF(ISERROR(FIND("`",SUBSTITUTE(prevWBS,".","`",1))),TEXT(VALUE(prevWBS)+1,"#"),TEXT(VALUE(LEFT(prevWBS,FIND("`",SUBSTITUTE(prevWBS,".","`",1))-1))+1,"#")))</f>
        <v>4</v>
      </c>
      <c r="B50" s="33" t="s">
        <v>145</v>
      </c>
      <c r="D50" s="35"/>
      <c r="E50" s="67"/>
      <c r="F50" s="67" t="str">
        <f t="shared" si="12"/>
        <v xml:space="preserve"> - </v>
      </c>
      <c r="G50" s="36"/>
      <c r="H50" s="37"/>
      <c r="I50" s="38" t="str">
        <f t="shared" si="13"/>
        <v xml:space="preserve"> - </v>
      </c>
      <c r="J50" s="63"/>
      <c r="K50" s="70"/>
      <c r="L50" s="70"/>
      <c r="M50" s="70"/>
      <c r="N50" s="70"/>
      <c r="O50" s="70"/>
      <c r="P50" s="70"/>
      <c r="Q50" s="70"/>
      <c r="R50" s="70"/>
      <c r="S50" s="70"/>
      <c r="T50" s="70"/>
      <c r="U50" s="70"/>
      <c r="V50" s="70"/>
      <c r="W50" s="70"/>
      <c r="X50" s="70"/>
      <c r="Y50" s="70"/>
      <c r="Z50" s="70"/>
      <c r="AA50" s="70"/>
      <c r="AB50" s="70"/>
      <c r="AC50" s="70"/>
      <c r="AD50" s="70"/>
      <c r="AE50" s="70"/>
      <c r="AF50" s="70"/>
      <c r="AG50" s="70"/>
      <c r="AH50" s="70"/>
      <c r="AI50" s="70"/>
      <c r="AJ50" s="70"/>
      <c r="AK50" s="70"/>
      <c r="AL50" s="70"/>
      <c r="AM50" s="70"/>
      <c r="AN50" s="70"/>
      <c r="AO50" s="70"/>
      <c r="AP50" s="70"/>
      <c r="AQ50" s="70"/>
      <c r="AR50" s="70"/>
      <c r="AS50" s="70"/>
      <c r="AT50" s="70"/>
      <c r="AU50" s="70"/>
      <c r="AV50" s="70"/>
      <c r="AW50" s="70"/>
      <c r="AX50" s="70"/>
      <c r="AY50" s="70"/>
      <c r="AZ50" s="70"/>
      <c r="BA50" s="70"/>
      <c r="BB50" s="70"/>
      <c r="BC50" s="70"/>
      <c r="BD50" s="70"/>
      <c r="BE50" s="70"/>
      <c r="BF50" s="70"/>
      <c r="BG50" s="70"/>
      <c r="BH50" s="70"/>
      <c r="BI50" s="70"/>
      <c r="BJ50" s="70"/>
      <c r="BK50" s="70"/>
      <c r="BL50" s="70"/>
      <c r="BM50" s="70"/>
      <c r="BN50" s="70"/>
    </row>
    <row r="51" spans="1:66" s="40" customFormat="1" ht="18.75" x14ac:dyDescent="0.2">
      <c r="A51" s="39"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4.1</v>
      </c>
      <c r="B51" s="82" t="s">
        <v>151</v>
      </c>
      <c r="C51" s="40" t="s">
        <v>160</v>
      </c>
      <c r="D51" s="83"/>
      <c r="E51" s="65">
        <v>44913</v>
      </c>
      <c r="F51" s="66">
        <f t="shared" si="12"/>
        <v>44917</v>
      </c>
      <c r="G51" s="41">
        <v>5</v>
      </c>
      <c r="H51" s="42">
        <v>0</v>
      </c>
      <c r="I51" s="43">
        <f t="shared" si="13"/>
        <v>4</v>
      </c>
      <c r="J51" s="62"/>
      <c r="K51" s="39"/>
      <c r="L51" s="39"/>
      <c r="M51" s="39"/>
      <c r="N51" s="39"/>
      <c r="O51" s="39"/>
      <c r="P51" s="39"/>
      <c r="Q51" s="39"/>
      <c r="R51" s="39"/>
      <c r="S51" s="39"/>
      <c r="T51" s="39"/>
      <c r="U51" s="39"/>
      <c r="V51" s="39"/>
      <c r="W51" s="39"/>
      <c r="X51" s="39"/>
      <c r="Y51" s="39"/>
      <c r="Z51" s="39"/>
      <c r="AA51" s="39"/>
      <c r="AB51" s="39"/>
      <c r="AC51" s="39"/>
      <c r="AD51" s="39"/>
      <c r="AE51" s="39"/>
      <c r="AF51" s="39"/>
      <c r="AG51" s="39"/>
      <c r="AH51" s="39"/>
      <c r="AI51" s="39"/>
      <c r="AJ51" s="39"/>
      <c r="AK51" s="39"/>
      <c r="AL51" s="39"/>
      <c r="AM51" s="39"/>
      <c r="AN51" s="39"/>
      <c r="AO51" s="39"/>
      <c r="AP51" s="39"/>
      <c r="AQ51" s="39"/>
      <c r="AR51" s="39"/>
      <c r="AS51" s="39"/>
      <c r="AT51" s="39"/>
      <c r="AU51" s="39"/>
      <c r="AV51" s="39"/>
      <c r="AW51" s="39"/>
      <c r="AX51" s="39"/>
      <c r="AY51" s="39"/>
      <c r="AZ51" s="39"/>
      <c r="BA51" s="39"/>
      <c r="BB51" s="39"/>
      <c r="BC51" s="39"/>
      <c r="BD51" s="39"/>
      <c r="BE51" s="39"/>
      <c r="BF51" s="39"/>
      <c r="BG51" s="39"/>
      <c r="BH51" s="39"/>
      <c r="BI51" s="39"/>
      <c r="BJ51" s="39"/>
      <c r="BK51" s="39"/>
      <c r="BL51" s="39"/>
      <c r="BM51" s="39"/>
      <c r="BN51" s="39"/>
    </row>
    <row r="52" spans="1:66" s="40" customFormat="1" ht="18.75" x14ac:dyDescent="0.2">
      <c r="A52" s="39"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4.2</v>
      </c>
      <c r="B52" s="82" t="s">
        <v>152</v>
      </c>
      <c r="C52" s="40" t="s">
        <v>160</v>
      </c>
      <c r="D52" s="83"/>
      <c r="E52" s="65">
        <v>44918</v>
      </c>
      <c r="F52" s="66">
        <f t="shared" si="12"/>
        <v>44947</v>
      </c>
      <c r="G52" s="41">
        <v>30</v>
      </c>
      <c r="H52" s="42">
        <v>0</v>
      </c>
      <c r="I52" s="43">
        <f t="shared" si="13"/>
        <v>21</v>
      </c>
      <c r="J52" s="62"/>
      <c r="K52" s="39"/>
      <c r="L52" s="39"/>
      <c r="M52" s="39"/>
      <c r="N52" s="39"/>
      <c r="O52" s="39"/>
      <c r="P52" s="39"/>
      <c r="Q52" s="39"/>
      <c r="R52" s="39"/>
      <c r="S52" s="39"/>
      <c r="T52" s="39"/>
      <c r="U52" s="39"/>
      <c r="V52" s="39"/>
      <c r="W52" s="39"/>
      <c r="X52" s="39"/>
      <c r="Y52" s="39"/>
      <c r="Z52" s="39"/>
      <c r="AA52" s="39"/>
      <c r="AB52" s="39"/>
      <c r="AC52" s="39"/>
      <c r="AD52" s="39"/>
      <c r="AE52" s="39"/>
      <c r="AF52" s="39"/>
      <c r="AG52" s="39"/>
      <c r="AH52" s="39"/>
      <c r="AI52" s="39"/>
      <c r="AJ52" s="39"/>
      <c r="AK52" s="39"/>
      <c r="AL52" s="39"/>
      <c r="AM52" s="39"/>
      <c r="AN52" s="39"/>
      <c r="AO52" s="39"/>
      <c r="AP52" s="39"/>
      <c r="AQ52" s="39"/>
      <c r="AR52" s="39"/>
      <c r="AS52" s="39"/>
      <c r="AT52" s="39"/>
      <c r="AU52" s="39"/>
      <c r="AV52" s="39"/>
      <c r="AW52" s="39"/>
      <c r="AX52" s="39"/>
      <c r="AY52" s="39"/>
      <c r="AZ52" s="39"/>
      <c r="BA52" s="39"/>
      <c r="BB52" s="39"/>
      <c r="BC52" s="39"/>
      <c r="BD52" s="39"/>
      <c r="BE52" s="39"/>
      <c r="BF52" s="39"/>
      <c r="BG52" s="39"/>
      <c r="BH52" s="39"/>
      <c r="BI52" s="39"/>
      <c r="BJ52" s="39"/>
      <c r="BK52" s="39"/>
      <c r="BL52" s="39"/>
      <c r="BM52" s="39"/>
      <c r="BN52" s="39"/>
    </row>
    <row r="53" spans="1:66" s="49" customFormat="1" ht="18.75" x14ac:dyDescent="0.2">
      <c r="A53" s="39"/>
      <c r="B53" s="44"/>
      <c r="C53" s="44"/>
      <c r="D53" s="45"/>
      <c r="E53" s="68"/>
      <c r="F53" s="68"/>
      <c r="G53" s="46"/>
      <c r="H53" s="47"/>
      <c r="I53" s="48" t="str">
        <f t="shared" si="13"/>
        <v xml:space="preserve"> - </v>
      </c>
      <c r="J53" s="64"/>
      <c r="K53" s="39"/>
      <c r="L53" s="39"/>
      <c r="M53" s="39"/>
      <c r="N53" s="39"/>
      <c r="O53" s="39"/>
      <c r="P53" s="39"/>
      <c r="Q53" s="39"/>
      <c r="R53" s="39"/>
      <c r="S53" s="39"/>
      <c r="T53" s="39"/>
      <c r="U53" s="39"/>
      <c r="V53" s="39"/>
      <c r="W53" s="39"/>
      <c r="X53" s="39"/>
      <c r="Y53" s="39"/>
      <c r="Z53" s="39"/>
      <c r="AA53" s="39"/>
      <c r="AB53" s="39"/>
      <c r="AC53" s="39"/>
      <c r="AD53" s="39"/>
      <c r="AE53" s="39"/>
      <c r="AF53" s="39"/>
      <c r="AG53" s="39"/>
      <c r="AH53" s="39"/>
      <c r="AI53" s="39"/>
      <c r="AJ53" s="39"/>
      <c r="AK53" s="39"/>
      <c r="AL53" s="39"/>
      <c r="AM53" s="39"/>
      <c r="AN53" s="39"/>
      <c r="AO53" s="39"/>
      <c r="AP53" s="39"/>
      <c r="AQ53" s="39"/>
      <c r="AR53" s="39"/>
      <c r="AS53" s="39"/>
      <c r="AT53" s="39"/>
      <c r="AU53" s="39"/>
      <c r="AV53" s="39"/>
      <c r="AW53" s="39"/>
      <c r="AX53" s="39"/>
      <c r="AY53" s="39"/>
      <c r="AZ53" s="39"/>
      <c r="BA53" s="39"/>
      <c r="BB53" s="39"/>
      <c r="BC53" s="39"/>
      <c r="BD53" s="39"/>
      <c r="BE53" s="39"/>
      <c r="BF53" s="39"/>
      <c r="BG53" s="39"/>
      <c r="BH53" s="39"/>
      <c r="BI53" s="39"/>
      <c r="BJ53" s="39"/>
      <c r="BK53" s="39"/>
      <c r="BL53" s="39"/>
      <c r="BM53" s="39"/>
      <c r="BN53" s="39"/>
    </row>
  </sheetData>
  <sheetProtection formatCells="0" formatColumns="0" formatRows="0" insertRows="0" deleteRows="0"/>
  <mergeCells count="19">
    <mergeCell ref="K1:AE1"/>
    <mergeCell ref="C5:E5"/>
    <mergeCell ref="R4:X4"/>
    <mergeCell ref="K4:Q4"/>
    <mergeCell ref="C4:E4"/>
    <mergeCell ref="R5:X5"/>
    <mergeCell ref="K5:Q5"/>
    <mergeCell ref="Y4:AE4"/>
    <mergeCell ref="Y5:AE5"/>
    <mergeCell ref="AF4:AL4"/>
    <mergeCell ref="AF5:AL5"/>
    <mergeCell ref="BH4:BN4"/>
    <mergeCell ref="BH5:BN5"/>
    <mergeCell ref="AM5:AS5"/>
    <mergeCell ref="AT4:AZ4"/>
    <mergeCell ref="AT5:AZ5"/>
    <mergeCell ref="AM4:AS4"/>
    <mergeCell ref="BA4:BG4"/>
    <mergeCell ref="BA5:BG5"/>
  </mergeCells>
  <phoneticPr fontId="3" type="noConversion"/>
  <conditionalFormatting sqref="H8:H53">
    <cfRule type="dataBar" priority="2">
      <dataBar>
        <cfvo type="num" val="0"/>
        <cfvo type="num" val="1"/>
        <color theme="0" tint="-0.34998626667073579"/>
      </dataBar>
      <extLst>
        <ext xmlns:x14="http://schemas.microsoft.com/office/spreadsheetml/2009/9/main" uri="{B025F937-C7B1-47D3-B67F-A62EFF666E3E}">
          <x14:id>{0A58A75E-4698-465A-8593-F06B91A3A900}</x14:id>
        </ext>
      </extLst>
    </cfRule>
  </conditionalFormatting>
  <conditionalFormatting sqref="K6:BN7">
    <cfRule type="expression" dxfId="3" priority="45">
      <formula>K$6=TODAY()</formula>
    </cfRule>
  </conditionalFormatting>
  <conditionalFormatting sqref="K8:BN53">
    <cfRule type="expression" dxfId="2" priority="48">
      <formula>AND($E8&lt;=K$6,ROUNDDOWN(($F8-$E8+1)*$H8,0)+$E8-1&gt;=K$6)</formula>
    </cfRule>
    <cfRule type="expression" dxfId="1" priority="49">
      <formula>AND(NOT(ISBLANK($E8)),$E8&lt;=K$6,$F8&gt;=K$6)</formula>
    </cfRule>
  </conditionalFormatting>
  <conditionalFormatting sqref="K6:BN53">
    <cfRule type="expression" dxfId="0" priority="8">
      <formula>K$6=TODAY()</formula>
    </cfRule>
  </conditionalFormatting>
  <dataValidations count="1">
    <dataValidation type="list" allowBlank="1" showInputMessage="1" promptTitle="Display Week" prompt="Enter the week number to display first in the Gantt Chart. The weeks are numbered starting from the week containing the Project Start Date." sqref="H4" xr:uid="{00000000-0002-0000-0000-000000000000}">
      <formula1>week</formula1>
    </dataValidation>
  </dataValidations>
  <hyperlinks>
    <hyperlink ref="K1:AE1" r:id="rId1" display="Gantt Chart Template © 2006-2018 by Vertex42.com." xr:uid="{00000000-0004-0000-0000-000000000000}"/>
  </hyperlinks>
  <pageMargins left="0.25" right="0.25" top="0.5" bottom="0.5" header="0.5" footer="0.25"/>
  <pageSetup scale="63" fitToHeight="0" orientation="landscape" r:id="rId2"/>
  <headerFooter alignWithMargins="0"/>
  <ignoredErrors>
    <ignoredError sqref="A53 E28 E41 E50 E53:H53 G28:H28 G41:H41 G50:H50 H49 H52 H51" unlockedFormula="1"/>
    <ignoredError sqref="A50 A41 A28" formula="1"/>
  </ignoredErrors>
  <drawing r:id="rId3"/>
  <legacyDrawing r:id="rId4"/>
  <mc:AlternateContent xmlns:mc="http://schemas.openxmlformats.org/markup-compatibility/2006">
    <mc:Choice Requires="x14">
      <controls>
        <mc:AlternateContent xmlns:mc="http://schemas.openxmlformats.org/markup-compatibility/2006">
          <mc:Choice Requires="x14">
            <control shapeId="8238" r:id="rId5" name="Scroll Bar 46">
              <controlPr defaultSize="0" print="0" autoPict="0">
                <anchor moveWithCells="1">
                  <from>
                    <xdr:col>9</xdr:col>
                    <xdr:colOff>95250</xdr:colOff>
                    <xdr:row>1</xdr:row>
                    <xdr:rowOff>123825</xdr:rowOff>
                  </from>
                  <to>
                    <xdr:col>27</xdr:col>
                    <xdr:colOff>104775</xdr:colOff>
                    <xdr:row>2</xdr:row>
                    <xdr:rowOff>114300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dataBar" id="{0A58A75E-4698-465A-8593-F06B91A3A900}">
            <x14:dataBar minLength="0" maxLength="100" gradient="0">
              <x14:cfvo type="num">
                <xm:f>0</xm:f>
              </x14:cfvo>
              <x14:cfvo type="num">
                <xm:f>1</xm:f>
              </x14:cfvo>
              <x14:negativeFillColor rgb="FFFF0000"/>
              <x14:axisColor rgb="FF000000"/>
            </x14:dataBar>
          </x14:cfRule>
          <xm:sqref>H8:H53</xm:sqref>
        </x14:conditionalFormatting>
      </x14:conditionalFormatting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8BC07D-6E79-4A20-B9E7-5732C91E1567}">
  <sheetPr codeName="Sheet3"/>
  <dimension ref="A1:A2"/>
  <sheetViews>
    <sheetView workbookViewId="0">
      <selection sqref="A1:A2"/>
    </sheetView>
  </sheetViews>
  <sheetFormatPr defaultRowHeight="12.75" x14ac:dyDescent="0.2"/>
  <sheetData>
    <row r="1" spans="1:1" x14ac:dyDescent="0.2">
      <c r="A1">
        <v>1</v>
      </c>
    </row>
    <row r="2" spans="1:1" x14ac:dyDescent="0.2">
      <c r="A2">
        <v>9</v>
      </c>
    </row>
  </sheetData>
  <phoneticPr fontId="68" type="noConversion"/>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pageSetUpPr fitToPage="1"/>
  </sheetPr>
  <dimension ref="A1:C46"/>
  <sheetViews>
    <sheetView showGridLines="0" topLeftCell="A11" workbookViewId="0">
      <selection activeCell="H5" sqref="H5"/>
    </sheetView>
  </sheetViews>
  <sheetFormatPr defaultRowHeight="12.75" x14ac:dyDescent="0.2"/>
  <cols>
    <col min="1" max="1" width="5.5703125" customWidth="1"/>
    <col min="2" max="2" width="37.7109375" customWidth="1"/>
    <col min="3" max="3" width="55.140625" customWidth="1"/>
    <col min="4" max="7" width="8.85546875"/>
  </cols>
  <sheetData>
    <row r="1" spans="1:3" ht="30" customHeight="1" x14ac:dyDescent="0.2">
      <c r="A1" s="20" t="s">
        <v>20</v>
      </c>
    </row>
    <row r="4" spans="1:3" x14ac:dyDescent="0.2">
      <c r="C4" s="4" t="s">
        <v>28</v>
      </c>
    </row>
    <row r="5" spans="1:3" x14ac:dyDescent="0.2">
      <c r="C5" s="2" t="s">
        <v>29</v>
      </c>
    </row>
    <row r="6" spans="1:3" x14ac:dyDescent="0.2">
      <c r="C6" s="2"/>
    </row>
    <row r="7" spans="1:3" ht="18" x14ac:dyDescent="0.25">
      <c r="C7" s="13" t="s">
        <v>48</v>
      </c>
    </row>
    <row r="8" spans="1:3" x14ac:dyDescent="0.2">
      <c r="C8" s="14" t="s">
        <v>46</v>
      </c>
    </row>
    <row r="10" spans="1:3" x14ac:dyDescent="0.2">
      <c r="C10" s="2" t="s">
        <v>45</v>
      </c>
    </row>
    <row r="11" spans="1:3" x14ac:dyDescent="0.2">
      <c r="C11" s="2" t="s">
        <v>44</v>
      </c>
    </row>
    <row r="13" spans="1:3" ht="18" x14ac:dyDescent="0.25">
      <c r="C13" s="13" t="s">
        <v>43</v>
      </c>
    </row>
    <row r="16" spans="1:3" ht="15.75" x14ac:dyDescent="0.25">
      <c r="A16" s="16" t="s">
        <v>22</v>
      </c>
    </row>
    <row r="18" spans="2:2" ht="15" x14ac:dyDescent="0.25">
      <c r="B18" s="15" t="s">
        <v>33</v>
      </c>
    </row>
    <row r="19" spans="2:2" x14ac:dyDescent="0.2">
      <c r="B19" s="2" t="s">
        <v>38</v>
      </c>
    </row>
    <row r="20" spans="2:2" x14ac:dyDescent="0.2">
      <c r="B20" s="2" t="s">
        <v>39</v>
      </c>
    </row>
    <row r="22" spans="2:2" ht="15" x14ac:dyDescent="0.25">
      <c r="B22" s="15" t="s">
        <v>40</v>
      </c>
    </row>
    <row r="23" spans="2:2" x14ac:dyDescent="0.2">
      <c r="B23" s="2" t="s">
        <v>41</v>
      </c>
    </row>
    <row r="24" spans="2:2" x14ac:dyDescent="0.2">
      <c r="B24" s="2" t="s">
        <v>42</v>
      </c>
    </row>
    <row r="26" spans="2:2" ht="15" x14ac:dyDescent="0.25">
      <c r="B26" s="15" t="s">
        <v>30</v>
      </c>
    </row>
    <row r="27" spans="2:2" x14ac:dyDescent="0.2">
      <c r="B27" s="2" t="s">
        <v>34</v>
      </c>
    </row>
    <row r="28" spans="2:2" x14ac:dyDescent="0.2">
      <c r="B28" s="2" t="s">
        <v>35</v>
      </c>
    </row>
    <row r="29" spans="2:2" x14ac:dyDescent="0.2">
      <c r="B29" s="2" t="s">
        <v>36</v>
      </c>
    </row>
    <row r="30" spans="2:2" x14ac:dyDescent="0.2">
      <c r="B30" t="s">
        <v>23</v>
      </c>
    </row>
    <row r="31" spans="2:2" x14ac:dyDescent="0.2">
      <c r="B31" t="s">
        <v>24</v>
      </c>
    </row>
    <row r="32" spans="2:2" x14ac:dyDescent="0.2">
      <c r="B32" t="s">
        <v>25</v>
      </c>
    </row>
    <row r="34" spans="2:2" ht="15" x14ac:dyDescent="0.25">
      <c r="B34" s="15" t="s">
        <v>26</v>
      </c>
    </row>
    <row r="35" spans="2:2" x14ac:dyDescent="0.2">
      <c r="B35" s="2" t="s">
        <v>115</v>
      </c>
    </row>
    <row r="36" spans="2:2" x14ac:dyDescent="0.2">
      <c r="B36" s="2" t="s">
        <v>116</v>
      </c>
    </row>
    <row r="37" spans="2:2" x14ac:dyDescent="0.2">
      <c r="B37" s="2" t="s">
        <v>117</v>
      </c>
    </row>
    <row r="39" spans="2:2" ht="15" x14ac:dyDescent="0.25">
      <c r="B39" s="15" t="s">
        <v>27</v>
      </c>
    </row>
    <row r="40" spans="2:2" x14ac:dyDescent="0.2">
      <c r="B40" s="2" t="s">
        <v>37</v>
      </c>
    </row>
    <row r="42" spans="2:2" ht="15" x14ac:dyDescent="0.25">
      <c r="B42" s="15" t="s">
        <v>31</v>
      </c>
    </row>
    <row r="43" spans="2:2" x14ac:dyDescent="0.2">
      <c r="B43" s="2" t="s">
        <v>118</v>
      </c>
    </row>
    <row r="44" spans="2:2" x14ac:dyDescent="0.2">
      <c r="B44" s="2" t="s">
        <v>32</v>
      </c>
    </row>
    <row r="46" spans="2:2" ht="18" x14ac:dyDescent="0.25">
      <c r="B46" s="13" t="s">
        <v>21</v>
      </c>
    </row>
  </sheetData>
  <phoneticPr fontId="68" type="noConversion"/>
  <hyperlinks>
    <hyperlink ref="C7" r:id="rId1" xr:uid="{00000000-0004-0000-0100-000000000000}"/>
    <hyperlink ref="B46" r:id="rId2" tooltip="Go to Vertex42.com" display="https://www.vertex42.com/Links/go.php?urlid=GanttChartPro" xr:uid="{00000000-0004-0000-0100-000001000000}"/>
    <hyperlink ref="C13" r:id="rId3" display="https://www.vertex42.com/blog/business/pm/new-gantt-chart-for-excel-online.html" xr:uid="{00000000-0004-0000-0100-000002000000}"/>
  </hyperlinks>
  <pageMargins left="0.7" right="0.7" top="0.75" bottom="0.75" header="0.3" footer="0.3"/>
  <pageSetup scale="93" orientation="portrait" r:id="rId4"/>
  <drawing r:id="rId5"/>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5"/>
  <dimension ref="A1:C94"/>
  <sheetViews>
    <sheetView showGridLines="0" workbookViewId="0">
      <selection activeCell="H5" sqref="H5"/>
    </sheetView>
  </sheetViews>
  <sheetFormatPr defaultColWidth="8.85546875" defaultRowHeight="12.75" x14ac:dyDescent="0.2"/>
  <cols>
    <col min="1" max="1" width="5.5703125" style="2" customWidth="1"/>
    <col min="2" max="2" width="90.42578125" style="2" customWidth="1"/>
    <col min="3" max="3" width="16.42578125" style="2" bestFit="1" customWidth="1"/>
    <col min="4" max="16384" width="8.85546875" style="2"/>
  </cols>
  <sheetData>
    <row r="1" spans="1:3" ht="30" customHeight="1" x14ac:dyDescent="0.2">
      <c r="A1" s="24" t="s">
        <v>110</v>
      </c>
      <c r="B1" s="25"/>
    </row>
    <row r="2" spans="1:3" ht="14.25" x14ac:dyDescent="0.2">
      <c r="A2" s="92" t="s">
        <v>46</v>
      </c>
      <c r="B2" s="3"/>
    </row>
    <row r="3" spans="1:3" x14ac:dyDescent="0.2">
      <c r="B3" s="3"/>
    </row>
    <row r="4" spans="1:3" ht="18" x14ac:dyDescent="0.25">
      <c r="A4" s="87" t="s">
        <v>77</v>
      </c>
      <c r="B4" s="16"/>
    </row>
    <row r="5" spans="1:3" ht="57" x14ac:dyDescent="0.2">
      <c r="B5" s="93" t="s">
        <v>66</v>
      </c>
    </row>
    <row r="7" spans="1:3" ht="28.5" x14ac:dyDescent="0.2">
      <c r="B7" s="93" t="s">
        <v>78</v>
      </c>
    </row>
    <row r="9" spans="1:3" ht="14.25" x14ac:dyDescent="0.2">
      <c r="B9" s="92" t="s">
        <v>58</v>
      </c>
    </row>
    <row r="11" spans="1:3" ht="28.5" x14ac:dyDescent="0.2">
      <c r="B11" s="91" t="s">
        <v>59</v>
      </c>
    </row>
    <row r="13" spans="1:3" ht="18" x14ac:dyDescent="0.25">
      <c r="A13" s="123" t="s">
        <v>3</v>
      </c>
      <c r="B13" s="123"/>
    </row>
    <row r="15" spans="1:3" s="88" customFormat="1" ht="18" x14ac:dyDescent="0.2">
      <c r="A15" s="95"/>
      <c r="B15" s="94" t="s">
        <v>69</v>
      </c>
    </row>
    <row r="16" spans="1:3" s="88" customFormat="1" ht="18" x14ac:dyDescent="0.2">
      <c r="A16" s="95"/>
      <c r="B16" s="94" t="s">
        <v>67</v>
      </c>
      <c r="C16" s="90" t="s">
        <v>2</v>
      </c>
    </row>
    <row r="17" spans="1:3" ht="18" x14ac:dyDescent="0.25">
      <c r="A17" s="96"/>
      <c r="B17" s="94" t="s">
        <v>71</v>
      </c>
    </row>
    <row r="18" spans="1:3" ht="18" x14ac:dyDescent="0.25">
      <c r="A18" s="96"/>
      <c r="B18" s="94" t="s">
        <v>79</v>
      </c>
    </row>
    <row r="19" spans="1:3" ht="18" x14ac:dyDescent="0.25">
      <c r="A19" s="96"/>
      <c r="B19" s="94" t="s">
        <v>80</v>
      </c>
    </row>
    <row r="20" spans="1:3" s="88" customFormat="1" ht="18" x14ac:dyDescent="0.2">
      <c r="A20" s="95"/>
      <c r="B20" s="94" t="s">
        <v>68</v>
      </c>
      <c r="C20" s="89" t="s">
        <v>1</v>
      </c>
    </row>
    <row r="21" spans="1:3" ht="18" x14ac:dyDescent="0.25">
      <c r="A21" s="96"/>
      <c r="B21" s="94" t="s">
        <v>70</v>
      </c>
    </row>
    <row r="22" spans="1:3" ht="18" x14ac:dyDescent="0.25">
      <c r="A22" s="96"/>
      <c r="B22" s="97" t="s">
        <v>72</v>
      </c>
    </row>
    <row r="23" spans="1:3" ht="18" x14ac:dyDescent="0.25">
      <c r="A23" s="96"/>
      <c r="B23" s="4"/>
    </row>
    <row r="24" spans="1:3" ht="18" x14ac:dyDescent="0.25">
      <c r="A24" s="123" t="s">
        <v>73</v>
      </c>
      <c r="B24" s="123"/>
    </row>
    <row r="25" spans="1:3" ht="43.5" x14ac:dyDescent="0.25">
      <c r="A25" s="96"/>
      <c r="B25" s="94" t="s">
        <v>81</v>
      </c>
    </row>
    <row r="26" spans="1:3" ht="18" x14ac:dyDescent="0.25">
      <c r="A26" s="96"/>
      <c r="B26" s="94"/>
    </row>
    <row r="27" spans="1:3" ht="18" x14ac:dyDescent="0.25">
      <c r="A27" s="96"/>
      <c r="B27" s="111" t="s">
        <v>85</v>
      </c>
    </row>
    <row r="28" spans="1:3" ht="18" x14ac:dyDescent="0.25">
      <c r="A28" s="96"/>
      <c r="B28" s="94" t="s">
        <v>74</v>
      </c>
    </row>
    <row r="29" spans="1:3" ht="28.5" x14ac:dyDescent="0.25">
      <c r="A29" s="96"/>
      <c r="B29" s="94" t="s">
        <v>76</v>
      </c>
    </row>
    <row r="30" spans="1:3" ht="18" x14ac:dyDescent="0.25">
      <c r="A30" s="96"/>
      <c r="B30" s="94"/>
    </row>
    <row r="31" spans="1:3" ht="18" x14ac:dyDescent="0.25">
      <c r="A31" s="96"/>
      <c r="B31" s="111" t="s">
        <v>82</v>
      </c>
    </row>
    <row r="32" spans="1:3" ht="18" x14ac:dyDescent="0.25">
      <c r="A32" s="96"/>
      <c r="B32" s="94" t="s">
        <v>75</v>
      </c>
    </row>
    <row r="33" spans="1:2" ht="18" x14ac:dyDescent="0.25">
      <c r="A33" s="96"/>
      <c r="B33" s="94" t="s">
        <v>83</v>
      </c>
    </row>
    <row r="34" spans="1:2" ht="18" x14ac:dyDescent="0.25">
      <c r="A34" s="96"/>
      <c r="B34" s="4"/>
    </row>
    <row r="35" spans="1:2" ht="28.5" x14ac:dyDescent="0.25">
      <c r="A35" s="96"/>
      <c r="B35" s="94" t="s">
        <v>120</v>
      </c>
    </row>
    <row r="36" spans="1:2" ht="18" x14ac:dyDescent="0.25">
      <c r="A36" s="96"/>
      <c r="B36" s="98" t="s">
        <v>84</v>
      </c>
    </row>
    <row r="37" spans="1:2" ht="18" x14ac:dyDescent="0.25">
      <c r="A37" s="96"/>
      <c r="B37" s="4"/>
    </row>
    <row r="38" spans="1:2" ht="18" x14ac:dyDescent="0.25">
      <c r="A38" s="123" t="s">
        <v>8</v>
      </c>
      <c r="B38" s="123"/>
    </row>
    <row r="39" spans="1:2" ht="28.5" x14ac:dyDescent="0.2">
      <c r="B39" s="94" t="s">
        <v>87</v>
      </c>
    </row>
    <row r="41" spans="1:2" ht="14.25" x14ac:dyDescent="0.2">
      <c r="B41" s="94" t="s">
        <v>88</v>
      </c>
    </row>
    <row r="43" spans="1:2" ht="28.5" x14ac:dyDescent="0.2">
      <c r="B43" s="94" t="s">
        <v>86</v>
      </c>
    </row>
    <row r="45" spans="1:2" ht="28.5" x14ac:dyDescent="0.2">
      <c r="B45" s="94" t="s">
        <v>89</v>
      </c>
    </row>
    <row r="46" spans="1:2" x14ac:dyDescent="0.2">
      <c r="B46" s="11"/>
    </row>
    <row r="47" spans="1:2" ht="28.5" x14ac:dyDescent="0.2">
      <c r="B47" s="94" t="s">
        <v>90</v>
      </c>
    </row>
    <row r="49" spans="1:2" ht="18" x14ac:dyDescent="0.25">
      <c r="A49" s="123" t="s">
        <v>6</v>
      </c>
      <c r="B49" s="123"/>
    </row>
    <row r="50" spans="1:2" ht="28.5" x14ac:dyDescent="0.2">
      <c r="B50" s="94" t="s">
        <v>121</v>
      </c>
    </row>
    <row r="52" spans="1:2" ht="14.25" x14ac:dyDescent="0.2">
      <c r="A52" s="99" t="s">
        <v>9</v>
      </c>
      <c r="B52" s="94" t="s">
        <v>10</v>
      </c>
    </row>
    <row r="53" spans="1:2" ht="14.25" x14ac:dyDescent="0.2">
      <c r="A53" s="99" t="s">
        <v>11</v>
      </c>
      <c r="B53" s="94" t="s">
        <v>12</v>
      </c>
    </row>
    <row r="54" spans="1:2" ht="14.25" x14ac:dyDescent="0.2">
      <c r="A54" s="99" t="s">
        <v>13</v>
      </c>
      <c r="B54" s="94" t="s">
        <v>14</v>
      </c>
    </row>
    <row r="55" spans="1:2" ht="28.5" x14ac:dyDescent="0.2">
      <c r="A55" s="91"/>
      <c r="B55" s="94" t="s">
        <v>91</v>
      </c>
    </row>
    <row r="56" spans="1:2" ht="28.5" x14ac:dyDescent="0.2">
      <c r="A56" s="91"/>
      <c r="B56" s="94" t="s">
        <v>92</v>
      </c>
    </row>
    <row r="57" spans="1:2" ht="14.25" x14ac:dyDescent="0.2">
      <c r="A57" s="99" t="s">
        <v>15</v>
      </c>
      <c r="B57" s="94" t="s">
        <v>16</v>
      </c>
    </row>
    <row r="58" spans="1:2" ht="14.25" x14ac:dyDescent="0.2">
      <c r="A58" s="91"/>
      <c r="B58" s="94" t="s">
        <v>93</v>
      </c>
    </row>
    <row r="59" spans="1:2" ht="14.25" x14ac:dyDescent="0.2">
      <c r="A59" s="91"/>
      <c r="B59" s="94" t="s">
        <v>94</v>
      </c>
    </row>
    <row r="60" spans="1:2" ht="14.25" x14ac:dyDescent="0.2">
      <c r="A60" s="99" t="s">
        <v>17</v>
      </c>
      <c r="B60" s="94" t="s">
        <v>18</v>
      </c>
    </row>
    <row r="61" spans="1:2" ht="28.5" x14ac:dyDescent="0.2">
      <c r="A61" s="91"/>
      <c r="B61" s="94" t="s">
        <v>95</v>
      </c>
    </row>
    <row r="62" spans="1:2" ht="14.25" x14ac:dyDescent="0.2">
      <c r="A62" s="99" t="s">
        <v>96</v>
      </c>
      <c r="B62" s="94" t="s">
        <v>97</v>
      </c>
    </row>
    <row r="63" spans="1:2" ht="14.25" x14ac:dyDescent="0.2">
      <c r="A63" s="100"/>
      <c r="B63" s="94" t="s">
        <v>98</v>
      </c>
    </row>
    <row r="64" spans="1:2" x14ac:dyDescent="0.2">
      <c r="B64" s="5"/>
    </row>
    <row r="65" spans="1:2" ht="18" x14ac:dyDescent="0.25">
      <c r="A65" s="123" t="s">
        <v>7</v>
      </c>
      <c r="B65" s="123"/>
    </row>
    <row r="66" spans="1:2" ht="42.75" x14ac:dyDescent="0.2">
      <c r="B66" s="94" t="s">
        <v>99</v>
      </c>
    </row>
    <row r="68" spans="1:2" ht="18" x14ac:dyDescent="0.25">
      <c r="A68" s="123" t="s">
        <v>4</v>
      </c>
      <c r="B68" s="123"/>
    </row>
    <row r="69" spans="1:2" ht="15" x14ac:dyDescent="0.25">
      <c r="A69" s="106" t="s">
        <v>5</v>
      </c>
      <c r="B69" s="107" t="s">
        <v>100</v>
      </c>
    </row>
    <row r="70" spans="1:2" ht="28.5" x14ac:dyDescent="0.2">
      <c r="A70" s="100"/>
      <c r="B70" s="105" t="s">
        <v>102</v>
      </c>
    </row>
    <row r="71" spans="1:2" ht="14.25" x14ac:dyDescent="0.2">
      <c r="A71" s="100"/>
      <c r="B71" s="101"/>
    </row>
    <row r="72" spans="1:2" ht="15" x14ac:dyDescent="0.25">
      <c r="A72" s="106" t="s">
        <v>5</v>
      </c>
      <c r="B72" s="107" t="s">
        <v>119</v>
      </c>
    </row>
    <row r="73" spans="1:2" ht="28.5" x14ac:dyDescent="0.2">
      <c r="A73" s="100"/>
      <c r="B73" s="105" t="s">
        <v>123</v>
      </c>
    </row>
    <row r="74" spans="1:2" ht="14.25" x14ac:dyDescent="0.2">
      <c r="A74" s="100"/>
      <c r="B74" s="101"/>
    </row>
    <row r="75" spans="1:2" ht="15" x14ac:dyDescent="0.25">
      <c r="A75" s="106" t="s">
        <v>5</v>
      </c>
      <c r="B75" s="109" t="s">
        <v>105</v>
      </c>
    </row>
    <row r="76" spans="1:2" ht="42.75" x14ac:dyDescent="0.2">
      <c r="A76" s="100"/>
      <c r="B76" s="93" t="s">
        <v>122</v>
      </c>
    </row>
    <row r="77" spans="1:2" ht="14.25" x14ac:dyDescent="0.2">
      <c r="A77" s="100"/>
      <c r="B77" s="100"/>
    </row>
    <row r="78" spans="1:2" ht="15" x14ac:dyDescent="0.25">
      <c r="A78" s="106" t="s">
        <v>5</v>
      </c>
      <c r="B78" s="109" t="s">
        <v>111</v>
      </c>
    </row>
    <row r="79" spans="1:2" ht="28.5" x14ac:dyDescent="0.2">
      <c r="A79" s="100"/>
      <c r="B79" s="93" t="s">
        <v>106</v>
      </c>
    </row>
    <row r="80" spans="1:2" ht="14.25" x14ac:dyDescent="0.2">
      <c r="A80" s="100"/>
      <c r="B80" s="100"/>
    </row>
    <row r="81" spans="1:2" ht="15" x14ac:dyDescent="0.25">
      <c r="A81" s="106" t="s">
        <v>5</v>
      </c>
      <c r="B81" s="109" t="s">
        <v>112</v>
      </c>
    </row>
    <row r="82" spans="1:2" ht="14.25" x14ac:dyDescent="0.2">
      <c r="A82" s="100"/>
      <c r="B82" s="104" t="s">
        <v>107</v>
      </c>
    </row>
    <row r="83" spans="1:2" ht="14.25" x14ac:dyDescent="0.2">
      <c r="A83" s="100"/>
      <c r="B83" s="104" t="s">
        <v>108</v>
      </c>
    </row>
    <row r="84" spans="1:2" ht="14.25" x14ac:dyDescent="0.2">
      <c r="A84" s="100"/>
      <c r="B84" s="104" t="s">
        <v>109</v>
      </c>
    </row>
    <row r="85" spans="1:2" ht="15" x14ac:dyDescent="0.25">
      <c r="A85" s="100"/>
      <c r="B85" s="103"/>
    </row>
    <row r="86" spans="1:2" ht="15" x14ac:dyDescent="0.25">
      <c r="A86" s="106" t="s">
        <v>5</v>
      </c>
      <c r="B86" s="109" t="s">
        <v>113</v>
      </c>
    </row>
    <row r="87" spans="1:2" ht="42.75" x14ac:dyDescent="0.2">
      <c r="A87" s="100"/>
      <c r="B87" s="93" t="s">
        <v>101</v>
      </c>
    </row>
    <row r="88" spans="1:2" ht="14.25" x14ac:dyDescent="0.2">
      <c r="A88" s="100"/>
      <c r="B88" s="102" t="s">
        <v>103</v>
      </c>
    </row>
    <row r="89" spans="1:2" ht="57" x14ac:dyDescent="0.2">
      <c r="A89" s="100"/>
      <c r="B89" s="108" t="s">
        <v>104</v>
      </c>
    </row>
    <row r="90" spans="1:2" ht="14.25" x14ac:dyDescent="0.2">
      <c r="A90" s="100"/>
      <c r="B90" s="100"/>
    </row>
    <row r="91" spans="1:2" ht="15" x14ac:dyDescent="0.25">
      <c r="A91" s="106" t="s">
        <v>5</v>
      </c>
      <c r="B91" s="109" t="s">
        <v>114</v>
      </c>
    </row>
    <row r="92" spans="1:2" ht="28.5" x14ac:dyDescent="0.2">
      <c r="A92" s="91"/>
      <c r="B92" s="104" t="s">
        <v>19</v>
      </c>
    </row>
    <row r="94" spans="1:2" x14ac:dyDescent="0.2">
      <c r="A94" s="17" t="s">
        <v>51</v>
      </c>
    </row>
  </sheetData>
  <mergeCells count="6">
    <mergeCell ref="A38:B38"/>
    <mergeCell ref="A49:B49"/>
    <mergeCell ref="A68:B68"/>
    <mergeCell ref="A13:B13"/>
    <mergeCell ref="A65:B65"/>
    <mergeCell ref="A24:B24"/>
  </mergeCells>
  <phoneticPr fontId="3" type="noConversion"/>
  <hyperlinks>
    <hyperlink ref="B9" r:id="rId1" xr:uid="{00000000-0004-0000-0200-000000000000}"/>
    <hyperlink ref="A2" r:id="rId2" xr:uid="{00000000-0004-0000-0200-000001000000}"/>
    <hyperlink ref="B36" r:id="rId3" xr:uid="{00000000-0004-0000-0200-000002000000}"/>
  </hyperlinks>
  <pageMargins left="0.5" right="0.5" top="0.25" bottom="0.25" header="0.5" footer="0.5"/>
  <pageSetup orientation="portrait" r:id="rId4"/>
  <headerFooter alignWithMargins="0"/>
  <drawing r:id="rId5"/>
  <legacyDrawing r:id="rId6"/>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dimension ref="A1:C29"/>
  <sheetViews>
    <sheetView showGridLines="0" workbookViewId="0">
      <selection activeCell="H5" sqref="H5"/>
    </sheetView>
  </sheetViews>
  <sheetFormatPr defaultColWidth="8.85546875" defaultRowHeight="12.75" x14ac:dyDescent="0.2"/>
  <cols>
    <col min="1" max="1" width="5.5703125" style="2" customWidth="1"/>
    <col min="2" max="2" width="82.140625" style="2" customWidth="1"/>
  </cols>
  <sheetData>
    <row r="1" spans="1:3" ht="30" customHeight="1" x14ac:dyDescent="0.2">
      <c r="A1" s="24" t="s">
        <v>49</v>
      </c>
      <c r="B1" s="24"/>
    </row>
    <row r="2" spans="1:3" ht="15" x14ac:dyDescent="0.2">
      <c r="B2" s="28"/>
    </row>
    <row r="3" spans="1:3" ht="15" x14ac:dyDescent="0.2">
      <c r="A3" s="26"/>
      <c r="B3" s="21" t="s">
        <v>50</v>
      </c>
      <c r="C3" s="27"/>
    </row>
    <row r="4" spans="1:3" ht="14.25" x14ac:dyDescent="0.2">
      <c r="A4" s="6"/>
      <c r="B4" s="23" t="s">
        <v>46</v>
      </c>
      <c r="C4" s="7"/>
    </row>
    <row r="5" spans="1:3" ht="15" x14ac:dyDescent="0.2">
      <c r="A5" s="6"/>
      <c r="B5" s="8"/>
      <c r="C5" s="7"/>
    </row>
    <row r="6" spans="1:3" ht="15.75" x14ac:dyDescent="0.25">
      <c r="A6" s="6"/>
      <c r="B6" s="9" t="s">
        <v>51</v>
      </c>
      <c r="C6" s="7"/>
    </row>
    <row r="7" spans="1:3" ht="15" x14ac:dyDescent="0.2">
      <c r="A7" s="6"/>
      <c r="B7" s="8"/>
      <c r="C7" s="7"/>
    </row>
    <row r="8" spans="1:3" ht="30" x14ac:dyDescent="0.2">
      <c r="A8" s="6"/>
      <c r="B8" s="8" t="s">
        <v>52</v>
      </c>
      <c r="C8" s="7"/>
    </row>
    <row r="9" spans="1:3" ht="15" x14ac:dyDescent="0.2">
      <c r="A9" s="6"/>
      <c r="B9" s="8"/>
      <c r="C9" s="7"/>
    </row>
    <row r="10" spans="1:3" ht="46.5" x14ac:dyDescent="0.25">
      <c r="A10" s="6"/>
      <c r="B10" s="8" t="s">
        <v>53</v>
      </c>
      <c r="C10" s="7"/>
    </row>
    <row r="11" spans="1:3" ht="15" x14ac:dyDescent="0.2">
      <c r="A11" s="6"/>
      <c r="B11" s="8"/>
      <c r="C11" s="7"/>
    </row>
    <row r="12" spans="1:3" ht="45" x14ac:dyDescent="0.2">
      <c r="A12" s="6"/>
      <c r="B12" s="8" t="s">
        <v>54</v>
      </c>
      <c r="C12" s="7"/>
    </row>
    <row r="13" spans="1:3" ht="15" x14ac:dyDescent="0.2">
      <c r="A13" s="6"/>
      <c r="B13" s="8"/>
      <c r="C13" s="7"/>
    </row>
    <row r="14" spans="1:3" ht="60" x14ac:dyDescent="0.2">
      <c r="A14" s="6"/>
      <c r="B14" s="8" t="s">
        <v>55</v>
      </c>
      <c r="C14" s="7"/>
    </row>
    <row r="15" spans="1:3" ht="15" x14ac:dyDescent="0.2">
      <c r="A15" s="6"/>
      <c r="B15" s="8"/>
      <c r="C15" s="7"/>
    </row>
    <row r="16" spans="1:3" ht="30.75" x14ac:dyDescent="0.2">
      <c r="A16" s="6"/>
      <c r="B16" s="8" t="s">
        <v>56</v>
      </c>
      <c r="C16" s="7"/>
    </row>
    <row r="17" spans="1:3" ht="15" x14ac:dyDescent="0.2">
      <c r="A17" s="6"/>
      <c r="B17" s="8"/>
      <c r="C17" s="7"/>
    </row>
    <row r="18" spans="1:3" ht="15.75" x14ac:dyDescent="0.25">
      <c r="A18" s="6"/>
      <c r="B18" s="9" t="s">
        <v>57</v>
      </c>
      <c r="C18" s="7"/>
    </row>
    <row r="19" spans="1:3" ht="15" x14ac:dyDescent="0.2">
      <c r="A19" s="6"/>
      <c r="B19" s="22" t="s">
        <v>47</v>
      </c>
      <c r="C19" s="7"/>
    </row>
    <row r="20" spans="1:3" ht="15" x14ac:dyDescent="0.2">
      <c r="A20" s="6"/>
      <c r="B20" s="10"/>
      <c r="C20" s="7"/>
    </row>
    <row r="21" spans="1:3" x14ac:dyDescent="0.2">
      <c r="A21" s="6"/>
      <c r="B21" s="6"/>
      <c r="C21" s="7"/>
    </row>
    <row r="22" spans="1:3" x14ac:dyDescent="0.2">
      <c r="A22" s="6"/>
      <c r="B22" s="6"/>
      <c r="C22" s="7"/>
    </row>
    <row r="23" spans="1:3" x14ac:dyDescent="0.2">
      <c r="A23" s="6"/>
      <c r="B23" s="6"/>
      <c r="C23" s="7"/>
    </row>
    <row r="24" spans="1:3" x14ac:dyDescent="0.2">
      <c r="A24" s="6"/>
      <c r="B24" s="6"/>
      <c r="C24" s="7"/>
    </row>
    <row r="25" spans="1:3" x14ac:dyDescent="0.2">
      <c r="A25" s="6"/>
      <c r="B25" s="6"/>
      <c r="C25" s="7"/>
    </row>
    <row r="26" spans="1:3" x14ac:dyDescent="0.2">
      <c r="A26" s="6"/>
      <c r="B26" s="6"/>
      <c r="C26" s="7"/>
    </row>
    <row r="27" spans="1:3" x14ac:dyDescent="0.2">
      <c r="A27" s="6"/>
      <c r="B27" s="6"/>
      <c r="C27" s="7"/>
    </row>
    <row r="28" spans="1:3" x14ac:dyDescent="0.2">
      <c r="A28" s="6"/>
      <c r="B28" s="6"/>
      <c r="C28" s="7"/>
    </row>
    <row r="29" spans="1:3" x14ac:dyDescent="0.2">
      <c r="A29" s="6"/>
      <c r="B29" s="6"/>
      <c r="C29" s="7"/>
    </row>
  </sheetData>
  <phoneticPr fontId="68" type="noConversion"/>
  <hyperlinks>
    <hyperlink ref="B4" r:id="rId1" xr:uid="{00000000-0004-0000-0300-000000000000}"/>
    <hyperlink ref="B19" r:id="rId2" xr:uid="{00000000-0004-0000-0300-000001000000}"/>
  </hyperlinks>
  <pageMargins left="0.7" right="0.7" top="0.75" bottom="0.75" header="0.3" footer="0.3"/>
  <pageSetup orientation="portrait" r:id="rId3"/>
  <drawing r:id="rId4"/>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5</vt:i4>
      </vt:variant>
      <vt:variant>
        <vt:lpstr>이름 지정된 범위</vt:lpstr>
      </vt:variant>
      <vt:variant>
        <vt:i4>5</vt:i4>
      </vt:variant>
    </vt:vector>
  </HeadingPairs>
  <TitlesOfParts>
    <vt:vector size="10" baseType="lpstr">
      <vt:lpstr>GanttChart</vt:lpstr>
      <vt:lpstr>Sheet1</vt:lpstr>
      <vt:lpstr>GanttChartPro</vt:lpstr>
      <vt:lpstr>Help</vt:lpstr>
      <vt:lpstr>TermsOfUse</vt:lpstr>
      <vt:lpstr>GanttChart!prevWBS</vt:lpstr>
      <vt:lpstr>GanttChart!Print_Area</vt:lpstr>
      <vt:lpstr>GanttChartPro!Print_Area</vt:lpstr>
      <vt:lpstr>GanttChart!Print_Titles</vt:lpstr>
      <vt:lpstr>week</vt:lpstr>
    </vt:vector>
  </TitlesOfParts>
  <Company>Vertex42 LLC</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Gantt Chart Template</dc:title>
  <dc:creator>Vertex42.com</dc:creator>
  <dc:description>(c) 2006-2018 Vertex42 LLC. All Rights Reserved.</dc:description>
  <cp:lastModifiedBy>Administrator</cp:lastModifiedBy>
  <cp:lastPrinted>2018-02-12T20:25:38Z</cp:lastPrinted>
  <dcterms:created xsi:type="dcterms:W3CDTF">2010-06-09T16:05:03Z</dcterms:created>
  <dcterms:modified xsi:type="dcterms:W3CDTF">2022-10-01T07:37:54Z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pyright">
    <vt:lpwstr>2018 Vertex42 LLC</vt:lpwstr>
  </property>
  <property fmtid="{D5CDD505-2E9C-101B-9397-08002B2CF9AE}" pid="3" name="Version">
    <vt:lpwstr>3.1.1</vt:lpwstr>
  </property>
  <property fmtid="{D5CDD505-2E9C-101B-9397-08002B2CF9AE}" pid="4" name="Source">
    <vt:lpwstr>https://www.vertex42.com/ExcelTemplates/excel-gantt-chart.html</vt:lpwstr>
  </property>
</Properties>
</file>